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8C2C8845-6058-43E4-8EAF-62FE4B5680B7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使用说明" sheetId="1" r:id="rId1"/>
    <sheet name="列表" sheetId="2" r:id="rId2"/>
    <sheet name="交易日志" sheetId="3" r:id="rId3"/>
    <sheet name="看板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4" l="1"/>
  <c r="G10" i="4"/>
  <c r="F10" i="4"/>
  <c r="K10" i="4" s="1"/>
  <c r="B10" i="4"/>
  <c r="G9" i="4"/>
  <c r="F9" i="4"/>
  <c r="K9" i="4" s="1"/>
  <c r="G8" i="4"/>
  <c r="F8" i="4"/>
  <c r="K8" i="4" s="1"/>
  <c r="F7" i="4"/>
  <c r="G6" i="4"/>
  <c r="F6" i="4"/>
  <c r="K6" i="4" s="1"/>
  <c r="G5" i="4"/>
  <c r="F5" i="4"/>
  <c r="K5" i="4" s="1"/>
  <c r="B5" i="4"/>
  <c r="B17" i="4" s="1"/>
  <c r="B4" i="4"/>
  <c r="B6" i="4" s="1"/>
  <c r="X203" i="3"/>
  <c r="Y203" i="3" s="1"/>
  <c r="W203" i="3"/>
  <c r="V203" i="3"/>
  <c r="U203" i="3"/>
  <c r="T203" i="3"/>
  <c r="S203" i="3"/>
  <c r="Y202" i="3"/>
  <c r="X202" i="3"/>
  <c r="V202" i="3"/>
  <c r="U202" i="3"/>
  <c r="T202" i="3"/>
  <c r="S202" i="3"/>
  <c r="W202" i="3" s="1"/>
  <c r="X201" i="3"/>
  <c r="Y201" i="3" s="1"/>
  <c r="V201" i="3"/>
  <c r="U201" i="3"/>
  <c r="T201" i="3"/>
  <c r="S201" i="3"/>
  <c r="W201" i="3" s="1"/>
  <c r="X200" i="3"/>
  <c r="Y200" i="3" s="1"/>
  <c r="W200" i="3"/>
  <c r="V200" i="3"/>
  <c r="U200" i="3"/>
  <c r="T200" i="3"/>
  <c r="S200" i="3"/>
  <c r="X199" i="3"/>
  <c r="Y199" i="3" s="1"/>
  <c r="W199" i="3"/>
  <c r="V199" i="3"/>
  <c r="U199" i="3"/>
  <c r="T199" i="3"/>
  <c r="S199" i="3"/>
  <c r="X198" i="3"/>
  <c r="Y198" i="3" s="1"/>
  <c r="V198" i="3"/>
  <c r="U198" i="3"/>
  <c r="T198" i="3"/>
  <c r="S198" i="3"/>
  <c r="W198" i="3" s="1"/>
  <c r="X197" i="3"/>
  <c r="Y197" i="3" s="1"/>
  <c r="W197" i="3"/>
  <c r="V197" i="3"/>
  <c r="U197" i="3"/>
  <c r="T197" i="3"/>
  <c r="S197" i="3"/>
  <c r="X196" i="3"/>
  <c r="Y196" i="3" s="1"/>
  <c r="W196" i="3"/>
  <c r="V196" i="3"/>
  <c r="U196" i="3"/>
  <c r="T196" i="3"/>
  <c r="S196" i="3"/>
  <c r="X195" i="3"/>
  <c r="Y195" i="3" s="1"/>
  <c r="V195" i="3"/>
  <c r="U195" i="3"/>
  <c r="T195" i="3"/>
  <c r="S195" i="3"/>
  <c r="W195" i="3" s="1"/>
  <c r="X194" i="3"/>
  <c r="Y194" i="3" s="1"/>
  <c r="V194" i="3"/>
  <c r="U194" i="3"/>
  <c r="T194" i="3"/>
  <c r="S194" i="3"/>
  <c r="W194" i="3" s="1"/>
  <c r="X193" i="3"/>
  <c r="Y193" i="3" s="1"/>
  <c r="W193" i="3"/>
  <c r="V193" i="3"/>
  <c r="U193" i="3"/>
  <c r="T193" i="3"/>
  <c r="S193" i="3"/>
  <c r="X192" i="3"/>
  <c r="Y192" i="3" s="1"/>
  <c r="V192" i="3"/>
  <c r="U192" i="3"/>
  <c r="T192" i="3"/>
  <c r="S192" i="3"/>
  <c r="W192" i="3" s="1"/>
  <c r="Y191" i="3"/>
  <c r="X191" i="3"/>
  <c r="V191" i="3"/>
  <c r="U191" i="3"/>
  <c r="T191" i="3"/>
  <c r="S191" i="3"/>
  <c r="W191" i="3" s="1"/>
  <c r="X190" i="3"/>
  <c r="Y190" i="3" s="1"/>
  <c r="W190" i="3"/>
  <c r="V190" i="3"/>
  <c r="U190" i="3"/>
  <c r="T190" i="3"/>
  <c r="S190" i="3"/>
  <c r="X189" i="3"/>
  <c r="Y189" i="3" s="1"/>
  <c r="W189" i="3"/>
  <c r="V189" i="3"/>
  <c r="U189" i="3"/>
  <c r="T189" i="3"/>
  <c r="S189" i="3"/>
  <c r="X188" i="3"/>
  <c r="Y188" i="3" s="1"/>
  <c r="V188" i="3"/>
  <c r="U188" i="3"/>
  <c r="T188" i="3"/>
  <c r="S188" i="3"/>
  <c r="W188" i="3" s="1"/>
  <c r="X187" i="3"/>
  <c r="Y187" i="3" s="1"/>
  <c r="V187" i="3"/>
  <c r="U187" i="3"/>
  <c r="T187" i="3"/>
  <c r="S187" i="3"/>
  <c r="W187" i="3" s="1"/>
  <c r="X186" i="3"/>
  <c r="Y186" i="3" s="1"/>
  <c r="W186" i="3"/>
  <c r="V186" i="3"/>
  <c r="U186" i="3"/>
  <c r="T186" i="3"/>
  <c r="S186" i="3"/>
  <c r="X185" i="3"/>
  <c r="Y185" i="3" s="1"/>
  <c r="V185" i="3"/>
  <c r="U185" i="3"/>
  <c r="T185" i="3"/>
  <c r="S185" i="3"/>
  <c r="W185" i="3" s="1"/>
  <c r="X184" i="3"/>
  <c r="Y184" i="3" s="1"/>
  <c r="V184" i="3"/>
  <c r="U184" i="3"/>
  <c r="T184" i="3"/>
  <c r="S184" i="3"/>
  <c r="W184" i="3" s="1"/>
  <c r="X183" i="3"/>
  <c r="Y183" i="3" s="1"/>
  <c r="W183" i="3"/>
  <c r="V183" i="3"/>
  <c r="U183" i="3"/>
  <c r="T183" i="3"/>
  <c r="S183" i="3"/>
  <c r="Y182" i="3"/>
  <c r="X182" i="3"/>
  <c r="V182" i="3"/>
  <c r="U182" i="3"/>
  <c r="T182" i="3"/>
  <c r="S182" i="3"/>
  <c r="W182" i="3" s="1"/>
  <c r="X181" i="3"/>
  <c r="Y181" i="3" s="1"/>
  <c r="V181" i="3"/>
  <c r="U181" i="3"/>
  <c r="T181" i="3"/>
  <c r="S181" i="3"/>
  <c r="W181" i="3" s="1"/>
  <c r="X180" i="3"/>
  <c r="Y180" i="3" s="1"/>
  <c r="W180" i="3"/>
  <c r="V180" i="3"/>
  <c r="U180" i="3"/>
  <c r="T180" i="3"/>
  <c r="S180" i="3"/>
  <c r="X179" i="3"/>
  <c r="Y179" i="3" s="1"/>
  <c r="W179" i="3"/>
  <c r="V179" i="3"/>
  <c r="U179" i="3"/>
  <c r="T179" i="3"/>
  <c r="S179" i="3"/>
  <c r="X178" i="3"/>
  <c r="Y178" i="3" s="1"/>
  <c r="V178" i="3"/>
  <c r="U178" i="3"/>
  <c r="T178" i="3"/>
  <c r="S178" i="3"/>
  <c r="W178" i="3" s="1"/>
  <c r="X177" i="3"/>
  <c r="Y177" i="3" s="1"/>
  <c r="W177" i="3"/>
  <c r="V177" i="3"/>
  <c r="U177" i="3"/>
  <c r="T177" i="3"/>
  <c r="S177" i="3"/>
  <c r="X176" i="3"/>
  <c r="Y176" i="3" s="1"/>
  <c r="W176" i="3"/>
  <c r="V176" i="3"/>
  <c r="U176" i="3"/>
  <c r="T176" i="3"/>
  <c r="S176" i="3"/>
  <c r="X175" i="3"/>
  <c r="Y175" i="3" s="1"/>
  <c r="V175" i="3"/>
  <c r="U175" i="3"/>
  <c r="T175" i="3"/>
  <c r="S175" i="3"/>
  <c r="W175" i="3" s="1"/>
  <c r="X174" i="3"/>
  <c r="Y174" i="3" s="1"/>
  <c r="V174" i="3"/>
  <c r="U174" i="3"/>
  <c r="T174" i="3"/>
  <c r="S174" i="3"/>
  <c r="W174" i="3" s="1"/>
  <c r="X173" i="3"/>
  <c r="Y173" i="3" s="1"/>
  <c r="W173" i="3"/>
  <c r="V173" i="3"/>
  <c r="U173" i="3"/>
  <c r="T173" i="3"/>
  <c r="S173" i="3"/>
  <c r="X172" i="3"/>
  <c r="Y172" i="3" s="1"/>
  <c r="V172" i="3"/>
  <c r="U172" i="3"/>
  <c r="T172" i="3"/>
  <c r="S172" i="3"/>
  <c r="W172" i="3" s="1"/>
  <c r="Y171" i="3"/>
  <c r="X171" i="3"/>
  <c r="V171" i="3"/>
  <c r="U171" i="3"/>
  <c r="T171" i="3"/>
  <c r="S171" i="3"/>
  <c r="W171" i="3" s="1"/>
  <c r="X170" i="3"/>
  <c r="Y170" i="3" s="1"/>
  <c r="W170" i="3"/>
  <c r="V170" i="3"/>
  <c r="U170" i="3"/>
  <c r="T170" i="3"/>
  <c r="S170" i="3"/>
  <c r="X169" i="3"/>
  <c r="Y169" i="3" s="1"/>
  <c r="W169" i="3"/>
  <c r="V169" i="3"/>
  <c r="U169" i="3"/>
  <c r="T169" i="3"/>
  <c r="S169" i="3"/>
  <c r="X168" i="3"/>
  <c r="Y168" i="3" s="1"/>
  <c r="V168" i="3"/>
  <c r="U168" i="3"/>
  <c r="T168" i="3"/>
  <c r="S168" i="3"/>
  <c r="W168" i="3" s="1"/>
  <c r="X167" i="3"/>
  <c r="Y167" i="3" s="1"/>
  <c r="V167" i="3"/>
  <c r="U167" i="3"/>
  <c r="T167" i="3"/>
  <c r="S167" i="3"/>
  <c r="W167" i="3" s="1"/>
  <c r="X166" i="3"/>
  <c r="Y166" i="3" s="1"/>
  <c r="W166" i="3"/>
  <c r="V166" i="3"/>
  <c r="U166" i="3"/>
  <c r="T166" i="3"/>
  <c r="S166" i="3"/>
  <c r="X165" i="3"/>
  <c r="Y165" i="3" s="1"/>
  <c r="V165" i="3"/>
  <c r="U165" i="3"/>
  <c r="T165" i="3"/>
  <c r="S165" i="3"/>
  <c r="W165" i="3" s="1"/>
  <c r="X164" i="3"/>
  <c r="Y164" i="3" s="1"/>
  <c r="V164" i="3"/>
  <c r="U164" i="3"/>
  <c r="T164" i="3"/>
  <c r="S164" i="3"/>
  <c r="W164" i="3" s="1"/>
  <c r="X163" i="3"/>
  <c r="Y163" i="3" s="1"/>
  <c r="W163" i="3"/>
  <c r="V163" i="3"/>
  <c r="U163" i="3"/>
  <c r="T163" i="3"/>
  <c r="S163" i="3"/>
  <c r="Y162" i="3"/>
  <c r="X162" i="3"/>
  <c r="V162" i="3"/>
  <c r="U162" i="3"/>
  <c r="T162" i="3"/>
  <c r="S162" i="3"/>
  <c r="W162" i="3" s="1"/>
  <c r="X161" i="3"/>
  <c r="Y161" i="3" s="1"/>
  <c r="V161" i="3"/>
  <c r="U161" i="3"/>
  <c r="T161" i="3"/>
  <c r="S161" i="3"/>
  <c r="W161" i="3" s="1"/>
  <c r="X160" i="3"/>
  <c r="Y160" i="3" s="1"/>
  <c r="W160" i="3"/>
  <c r="V160" i="3"/>
  <c r="U160" i="3"/>
  <c r="T160" i="3"/>
  <c r="S160" i="3"/>
  <c r="X159" i="3"/>
  <c r="Y159" i="3" s="1"/>
  <c r="W159" i="3"/>
  <c r="V159" i="3"/>
  <c r="U159" i="3"/>
  <c r="T159" i="3"/>
  <c r="S159" i="3"/>
  <c r="X158" i="3"/>
  <c r="Y158" i="3" s="1"/>
  <c r="V158" i="3"/>
  <c r="U158" i="3"/>
  <c r="T158" i="3"/>
  <c r="S158" i="3"/>
  <c r="W158" i="3" s="1"/>
  <c r="Y157" i="3"/>
  <c r="X157" i="3"/>
  <c r="W157" i="3"/>
  <c r="V157" i="3"/>
  <c r="U157" i="3"/>
  <c r="T157" i="3"/>
  <c r="S157" i="3"/>
  <c r="X156" i="3"/>
  <c r="Y156" i="3" s="1"/>
  <c r="W156" i="3"/>
  <c r="V156" i="3"/>
  <c r="U156" i="3"/>
  <c r="T156" i="3"/>
  <c r="S156" i="3"/>
  <c r="X155" i="3"/>
  <c r="Y155" i="3" s="1"/>
  <c r="V155" i="3"/>
  <c r="U155" i="3"/>
  <c r="T155" i="3"/>
  <c r="S155" i="3"/>
  <c r="W155" i="3" s="1"/>
  <c r="X154" i="3"/>
  <c r="Y154" i="3" s="1"/>
  <c r="V154" i="3"/>
  <c r="U154" i="3"/>
  <c r="T154" i="3"/>
  <c r="S154" i="3"/>
  <c r="W154" i="3" s="1"/>
  <c r="X153" i="3"/>
  <c r="Y153" i="3" s="1"/>
  <c r="W153" i="3"/>
  <c r="V153" i="3"/>
  <c r="U153" i="3"/>
  <c r="T153" i="3"/>
  <c r="S153" i="3"/>
  <c r="X152" i="3"/>
  <c r="Y152" i="3" s="1"/>
  <c r="W152" i="3"/>
  <c r="V152" i="3"/>
  <c r="U152" i="3"/>
  <c r="T152" i="3"/>
  <c r="S152" i="3"/>
  <c r="X151" i="3"/>
  <c r="Y151" i="3" s="1"/>
  <c r="V151" i="3"/>
  <c r="U151" i="3"/>
  <c r="T151" i="3"/>
  <c r="S151" i="3"/>
  <c r="W151" i="3" s="1"/>
  <c r="X150" i="3"/>
  <c r="Y150" i="3" s="1"/>
  <c r="W150" i="3"/>
  <c r="V150" i="3"/>
  <c r="U150" i="3"/>
  <c r="T150" i="3"/>
  <c r="S150" i="3"/>
  <c r="X149" i="3"/>
  <c r="Y149" i="3" s="1"/>
  <c r="W149" i="3"/>
  <c r="V149" i="3"/>
  <c r="U149" i="3"/>
  <c r="T149" i="3"/>
  <c r="S149" i="3"/>
  <c r="X148" i="3"/>
  <c r="Y148" i="3" s="1"/>
  <c r="V148" i="3"/>
  <c r="U148" i="3"/>
  <c r="T148" i="3"/>
  <c r="S148" i="3"/>
  <c r="W148" i="3" s="1"/>
  <c r="X147" i="3"/>
  <c r="Y147" i="3" s="1"/>
  <c r="V147" i="3"/>
  <c r="U147" i="3"/>
  <c r="T147" i="3"/>
  <c r="S147" i="3"/>
  <c r="W147" i="3" s="1"/>
  <c r="X146" i="3"/>
  <c r="Y146" i="3" s="1"/>
  <c r="W146" i="3"/>
  <c r="V146" i="3"/>
  <c r="U146" i="3"/>
  <c r="T146" i="3"/>
  <c r="S146" i="3"/>
  <c r="X145" i="3"/>
  <c r="Y145" i="3" s="1"/>
  <c r="V145" i="3"/>
  <c r="U145" i="3"/>
  <c r="T145" i="3"/>
  <c r="S145" i="3"/>
  <c r="W145" i="3" s="1"/>
  <c r="X144" i="3"/>
  <c r="Y144" i="3" s="1"/>
  <c r="V144" i="3"/>
  <c r="U144" i="3"/>
  <c r="T144" i="3"/>
  <c r="S144" i="3"/>
  <c r="W144" i="3" s="1"/>
  <c r="X143" i="3"/>
  <c r="Y143" i="3" s="1"/>
  <c r="W143" i="3"/>
  <c r="V143" i="3"/>
  <c r="U143" i="3"/>
  <c r="T143" i="3"/>
  <c r="S143" i="3"/>
  <c r="X142" i="3"/>
  <c r="Y142" i="3" s="1"/>
  <c r="V142" i="3"/>
  <c r="U142" i="3"/>
  <c r="T142" i="3"/>
  <c r="S142" i="3"/>
  <c r="W142" i="3" s="1"/>
  <c r="X141" i="3"/>
  <c r="Y141" i="3" s="1"/>
  <c r="V141" i="3"/>
  <c r="U141" i="3"/>
  <c r="T141" i="3"/>
  <c r="S141" i="3"/>
  <c r="W141" i="3" s="1"/>
  <c r="X140" i="3"/>
  <c r="Y140" i="3" s="1"/>
  <c r="W140" i="3"/>
  <c r="V140" i="3"/>
  <c r="U140" i="3"/>
  <c r="T140" i="3"/>
  <c r="S140" i="3"/>
  <c r="X139" i="3"/>
  <c r="Y139" i="3" s="1"/>
  <c r="W139" i="3"/>
  <c r="V139" i="3"/>
  <c r="U139" i="3"/>
  <c r="T139" i="3"/>
  <c r="S139" i="3"/>
  <c r="X138" i="3"/>
  <c r="Y138" i="3" s="1"/>
  <c r="V138" i="3"/>
  <c r="U138" i="3"/>
  <c r="T138" i="3"/>
  <c r="S138" i="3"/>
  <c r="W138" i="3" s="1"/>
  <c r="X137" i="3"/>
  <c r="Y137" i="3" s="1"/>
  <c r="W137" i="3"/>
  <c r="V137" i="3"/>
  <c r="U137" i="3"/>
  <c r="T137" i="3"/>
  <c r="S137" i="3"/>
  <c r="X136" i="3"/>
  <c r="Y136" i="3" s="1"/>
  <c r="W136" i="3"/>
  <c r="V136" i="3"/>
  <c r="U136" i="3"/>
  <c r="T136" i="3"/>
  <c r="S136" i="3"/>
  <c r="X135" i="3"/>
  <c r="Y135" i="3" s="1"/>
  <c r="V135" i="3"/>
  <c r="U135" i="3"/>
  <c r="T135" i="3"/>
  <c r="S135" i="3"/>
  <c r="W135" i="3" s="1"/>
  <c r="X134" i="3"/>
  <c r="Y134" i="3" s="1"/>
  <c r="V134" i="3"/>
  <c r="U134" i="3"/>
  <c r="T134" i="3"/>
  <c r="S134" i="3"/>
  <c r="W134" i="3" s="1"/>
  <c r="X133" i="3"/>
  <c r="Y133" i="3" s="1"/>
  <c r="W133" i="3"/>
  <c r="V133" i="3"/>
  <c r="U133" i="3"/>
  <c r="T133" i="3"/>
  <c r="S133" i="3"/>
  <c r="X132" i="3"/>
  <c r="Y132" i="3" s="1"/>
  <c r="W132" i="3"/>
  <c r="V132" i="3"/>
  <c r="U132" i="3"/>
  <c r="T132" i="3"/>
  <c r="S132" i="3"/>
  <c r="X131" i="3"/>
  <c r="Y131" i="3" s="1"/>
  <c r="V131" i="3"/>
  <c r="U131" i="3"/>
  <c r="T131" i="3"/>
  <c r="S131" i="3"/>
  <c r="W131" i="3" s="1"/>
  <c r="X130" i="3"/>
  <c r="Y130" i="3" s="1"/>
  <c r="W130" i="3"/>
  <c r="V130" i="3"/>
  <c r="U130" i="3"/>
  <c r="T130" i="3"/>
  <c r="S130" i="3"/>
  <c r="X129" i="3"/>
  <c r="Y129" i="3" s="1"/>
  <c r="W129" i="3"/>
  <c r="V129" i="3"/>
  <c r="U129" i="3"/>
  <c r="T129" i="3"/>
  <c r="S129" i="3"/>
  <c r="X128" i="3"/>
  <c r="Y128" i="3" s="1"/>
  <c r="V128" i="3"/>
  <c r="U128" i="3"/>
  <c r="T128" i="3"/>
  <c r="S128" i="3"/>
  <c r="W128" i="3" s="1"/>
  <c r="X127" i="3"/>
  <c r="Y127" i="3" s="1"/>
  <c r="V127" i="3"/>
  <c r="U127" i="3"/>
  <c r="T127" i="3"/>
  <c r="S127" i="3"/>
  <c r="W127" i="3" s="1"/>
  <c r="X126" i="3"/>
  <c r="Y126" i="3" s="1"/>
  <c r="W126" i="3"/>
  <c r="V126" i="3"/>
  <c r="U126" i="3"/>
  <c r="T126" i="3"/>
  <c r="S126" i="3"/>
  <c r="X125" i="3"/>
  <c r="Y125" i="3" s="1"/>
  <c r="V125" i="3"/>
  <c r="U125" i="3"/>
  <c r="T125" i="3"/>
  <c r="S125" i="3"/>
  <c r="W125" i="3" s="1"/>
  <c r="X124" i="3"/>
  <c r="Y124" i="3" s="1"/>
  <c r="V124" i="3"/>
  <c r="U124" i="3"/>
  <c r="T124" i="3"/>
  <c r="S124" i="3"/>
  <c r="W124" i="3" s="1"/>
  <c r="X123" i="3"/>
  <c r="Y123" i="3" s="1"/>
  <c r="W123" i="3"/>
  <c r="V123" i="3"/>
  <c r="U123" i="3"/>
  <c r="T123" i="3"/>
  <c r="S123" i="3"/>
  <c r="X122" i="3"/>
  <c r="Y122" i="3" s="1"/>
  <c r="V122" i="3"/>
  <c r="U122" i="3"/>
  <c r="T122" i="3"/>
  <c r="S122" i="3"/>
  <c r="W122" i="3" s="1"/>
  <c r="X121" i="3"/>
  <c r="Y121" i="3" s="1"/>
  <c r="V121" i="3"/>
  <c r="U121" i="3"/>
  <c r="T121" i="3"/>
  <c r="S121" i="3"/>
  <c r="W121" i="3" s="1"/>
  <c r="X120" i="3"/>
  <c r="Y120" i="3" s="1"/>
  <c r="W120" i="3"/>
  <c r="V120" i="3"/>
  <c r="U120" i="3"/>
  <c r="T120" i="3"/>
  <c r="S120" i="3"/>
  <c r="X119" i="3"/>
  <c r="Y119" i="3" s="1"/>
  <c r="W119" i="3"/>
  <c r="V119" i="3"/>
  <c r="U119" i="3"/>
  <c r="T119" i="3"/>
  <c r="S119" i="3"/>
  <c r="X118" i="3"/>
  <c r="Y118" i="3" s="1"/>
  <c r="V118" i="3"/>
  <c r="U118" i="3"/>
  <c r="T118" i="3"/>
  <c r="S118" i="3"/>
  <c r="W118" i="3" s="1"/>
  <c r="X117" i="3"/>
  <c r="Y117" i="3" s="1"/>
  <c r="W117" i="3"/>
  <c r="V117" i="3"/>
  <c r="U117" i="3"/>
  <c r="T117" i="3"/>
  <c r="S117" i="3"/>
  <c r="X116" i="3"/>
  <c r="Y116" i="3" s="1"/>
  <c r="W116" i="3"/>
  <c r="V116" i="3"/>
  <c r="U116" i="3"/>
  <c r="T116" i="3"/>
  <c r="S116" i="3"/>
  <c r="X115" i="3"/>
  <c r="Y115" i="3" s="1"/>
  <c r="V115" i="3"/>
  <c r="U115" i="3"/>
  <c r="T115" i="3"/>
  <c r="S115" i="3"/>
  <c r="W115" i="3" s="1"/>
  <c r="X114" i="3"/>
  <c r="Y114" i="3" s="1"/>
  <c r="V114" i="3"/>
  <c r="U114" i="3"/>
  <c r="T114" i="3"/>
  <c r="S114" i="3"/>
  <c r="W114" i="3" s="1"/>
  <c r="X113" i="3"/>
  <c r="Y113" i="3" s="1"/>
  <c r="W113" i="3"/>
  <c r="V113" i="3"/>
  <c r="U113" i="3"/>
  <c r="T113" i="3"/>
  <c r="S113" i="3"/>
  <c r="X112" i="3"/>
  <c r="Y112" i="3" s="1"/>
  <c r="V112" i="3"/>
  <c r="U112" i="3"/>
  <c r="T112" i="3"/>
  <c r="S112" i="3"/>
  <c r="W112" i="3" s="1"/>
  <c r="X111" i="3"/>
  <c r="Y111" i="3" s="1"/>
  <c r="V111" i="3"/>
  <c r="U111" i="3"/>
  <c r="T111" i="3"/>
  <c r="S111" i="3"/>
  <c r="W111" i="3" s="1"/>
  <c r="X110" i="3"/>
  <c r="Y110" i="3" s="1"/>
  <c r="W110" i="3"/>
  <c r="V110" i="3"/>
  <c r="U110" i="3"/>
  <c r="T110" i="3"/>
  <c r="S110" i="3"/>
  <c r="X109" i="3"/>
  <c r="Y109" i="3" s="1"/>
  <c r="W109" i="3"/>
  <c r="V109" i="3"/>
  <c r="U109" i="3"/>
  <c r="T109" i="3"/>
  <c r="S109" i="3"/>
  <c r="X108" i="3"/>
  <c r="Y108" i="3" s="1"/>
  <c r="V108" i="3"/>
  <c r="U108" i="3"/>
  <c r="T108" i="3"/>
  <c r="S108" i="3"/>
  <c r="W108" i="3" s="1"/>
  <c r="X107" i="3"/>
  <c r="Y107" i="3" s="1"/>
  <c r="V107" i="3"/>
  <c r="U107" i="3"/>
  <c r="T107" i="3"/>
  <c r="S107" i="3"/>
  <c r="W107" i="3" s="1"/>
  <c r="Y106" i="3"/>
  <c r="X106" i="3"/>
  <c r="W106" i="3"/>
  <c r="V106" i="3"/>
  <c r="U106" i="3"/>
  <c r="T106" i="3"/>
  <c r="S106" i="3"/>
  <c r="X105" i="3"/>
  <c r="Y105" i="3" s="1"/>
  <c r="V105" i="3"/>
  <c r="U105" i="3"/>
  <c r="T105" i="3"/>
  <c r="S105" i="3"/>
  <c r="W105" i="3" s="1"/>
  <c r="X104" i="3"/>
  <c r="Y104" i="3" s="1"/>
  <c r="V104" i="3"/>
  <c r="U104" i="3"/>
  <c r="T104" i="3"/>
  <c r="S104" i="3"/>
  <c r="W104" i="3" s="1"/>
  <c r="X103" i="3"/>
  <c r="Y103" i="3" s="1"/>
  <c r="W103" i="3"/>
  <c r="V103" i="3"/>
  <c r="U103" i="3"/>
  <c r="T103" i="3"/>
  <c r="S103" i="3"/>
  <c r="X102" i="3"/>
  <c r="Y102" i="3" s="1"/>
  <c r="V102" i="3"/>
  <c r="U102" i="3"/>
  <c r="T102" i="3"/>
  <c r="S102" i="3"/>
  <c r="W102" i="3" s="1"/>
  <c r="X101" i="3"/>
  <c r="Y101" i="3" s="1"/>
  <c r="V101" i="3"/>
  <c r="U101" i="3"/>
  <c r="T101" i="3"/>
  <c r="S101" i="3"/>
  <c r="W101" i="3" s="1"/>
  <c r="X100" i="3"/>
  <c r="Y100" i="3" s="1"/>
  <c r="W100" i="3"/>
  <c r="V100" i="3"/>
  <c r="U100" i="3"/>
  <c r="T100" i="3"/>
  <c r="S100" i="3"/>
  <c r="X99" i="3"/>
  <c r="Y99" i="3" s="1"/>
  <c r="W99" i="3"/>
  <c r="V99" i="3"/>
  <c r="U99" i="3"/>
  <c r="T99" i="3"/>
  <c r="S99" i="3"/>
  <c r="X98" i="3"/>
  <c r="Y98" i="3" s="1"/>
  <c r="V98" i="3"/>
  <c r="U98" i="3"/>
  <c r="T98" i="3"/>
  <c r="S98" i="3"/>
  <c r="W98" i="3" s="1"/>
  <c r="X97" i="3"/>
  <c r="Y97" i="3" s="1"/>
  <c r="W97" i="3"/>
  <c r="V97" i="3"/>
  <c r="U97" i="3"/>
  <c r="T97" i="3"/>
  <c r="S97" i="3"/>
  <c r="X96" i="3"/>
  <c r="Y96" i="3" s="1"/>
  <c r="W96" i="3"/>
  <c r="V96" i="3"/>
  <c r="U96" i="3"/>
  <c r="T96" i="3"/>
  <c r="S96" i="3"/>
  <c r="X95" i="3"/>
  <c r="Y95" i="3" s="1"/>
  <c r="V95" i="3"/>
  <c r="U95" i="3"/>
  <c r="T95" i="3"/>
  <c r="S95" i="3"/>
  <c r="W95" i="3" s="1"/>
  <c r="X94" i="3"/>
  <c r="Y94" i="3" s="1"/>
  <c r="V94" i="3"/>
  <c r="U94" i="3"/>
  <c r="T94" i="3"/>
  <c r="S94" i="3"/>
  <c r="W94" i="3" s="1"/>
  <c r="X93" i="3"/>
  <c r="Y93" i="3" s="1"/>
  <c r="W93" i="3"/>
  <c r="V93" i="3"/>
  <c r="U93" i="3"/>
  <c r="T93" i="3"/>
  <c r="S93" i="3"/>
  <c r="X92" i="3"/>
  <c r="Y92" i="3" s="1"/>
  <c r="V92" i="3"/>
  <c r="U92" i="3"/>
  <c r="T92" i="3"/>
  <c r="S92" i="3"/>
  <c r="W92" i="3" s="1"/>
  <c r="X91" i="3"/>
  <c r="Y91" i="3" s="1"/>
  <c r="V91" i="3"/>
  <c r="U91" i="3"/>
  <c r="T91" i="3"/>
  <c r="S91" i="3"/>
  <c r="W91" i="3" s="1"/>
  <c r="X90" i="3"/>
  <c r="Y90" i="3" s="1"/>
  <c r="W90" i="3"/>
  <c r="V90" i="3"/>
  <c r="U90" i="3"/>
  <c r="T90" i="3"/>
  <c r="S90" i="3"/>
  <c r="X89" i="3"/>
  <c r="Y89" i="3" s="1"/>
  <c r="W89" i="3"/>
  <c r="V89" i="3"/>
  <c r="U89" i="3"/>
  <c r="T89" i="3"/>
  <c r="S89" i="3"/>
  <c r="X88" i="3"/>
  <c r="Y88" i="3" s="1"/>
  <c r="V88" i="3"/>
  <c r="U88" i="3"/>
  <c r="T88" i="3"/>
  <c r="S88" i="3"/>
  <c r="W88" i="3" s="1"/>
  <c r="X87" i="3"/>
  <c r="Y87" i="3" s="1"/>
  <c r="V87" i="3"/>
  <c r="U87" i="3"/>
  <c r="T87" i="3"/>
  <c r="S87" i="3"/>
  <c r="W87" i="3" s="1"/>
  <c r="X86" i="3"/>
  <c r="Y86" i="3" s="1"/>
  <c r="W86" i="3"/>
  <c r="V86" i="3"/>
  <c r="U86" i="3"/>
  <c r="T86" i="3"/>
  <c r="S86" i="3"/>
  <c r="X85" i="3"/>
  <c r="Y85" i="3" s="1"/>
  <c r="V85" i="3"/>
  <c r="U85" i="3"/>
  <c r="T85" i="3"/>
  <c r="S85" i="3"/>
  <c r="W85" i="3" s="1"/>
  <c r="X84" i="3"/>
  <c r="Y84" i="3" s="1"/>
  <c r="V84" i="3"/>
  <c r="U84" i="3"/>
  <c r="T84" i="3"/>
  <c r="S84" i="3"/>
  <c r="W84" i="3" s="1"/>
  <c r="X83" i="3"/>
  <c r="Y83" i="3" s="1"/>
  <c r="W83" i="3"/>
  <c r="V83" i="3"/>
  <c r="U83" i="3"/>
  <c r="T83" i="3"/>
  <c r="S83" i="3"/>
  <c r="X82" i="3"/>
  <c r="Y82" i="3" s="1"/>
  <c r="V82" i="3"/>
  <c r="U82" i="3"/>
  <c r="T82" i="3"/>
  <c r="S82" i="3"/>
  <c r="W82" i="3" s="1"/>
  <c r="X81" i="3"/>
  <c r="Y81" i="3" s="1"/>
  <c r="V81" i="3"/>
  <c r="U81" i="3"/>
  <c r="T81" i="3"/>
  <c r="S81" i="3"/>
  <c r="W81" i="3" s="1"/>
  <c r="X80" i="3"/>
  <c r="Y80" i="3" s="1"/>
  <c r="W80" i="3"/>
  <c r="V80" i="3"/>
  <c r="U80" i="3"/>
  <c r="T80" i="3"/>
  <c r="S80" i="3"/>
  <c r="X79" i="3"/>
  <c r="Y79" i="3" s="1"/>
  <c r="W79" i="3"/>
  <c r="V79" i="3"/>
  <c r="U79" i="3"/>
  <c r="T79" i="3"/>
  <c r="S79" i="3"/>
  <c r="X78" i="3"/>
  <c r="Y78" i="3" s="1"/>
  <c r="V78" i="3"/>
  <c r="U78" i="3"/>
  <c r="T78" i="3"/>
  <c r="S78" i="3"/>
  <c r="W78" i="3" s="1"/>
  <c r="X77" i="3"/>
  <c r="Y77" i="3" s="1"/>
  <c r="W77" i="3"/>
  <c r="V77" i="3"/>
  <c r="U77" i="3"/>
  <c r="T77" i="3"/>
  <c r="S77" i="3"/>
  <c r="X76" i="3"/>
  <c r="Y76" i="3" s="1"/>
  <c r="W76" i="3"/>
  <c r="V76" i="3"/>
  <c r="U76" i="3"/>
  <c r="T76" i="3"/>
  <c r="S76" i="3"/>
  <c r="X75" i="3"/>
  <c r="Y75" i="3" s="1"/>
  <c r="V75" i="3"/>
  <c r="U75" i="3"/>
  <c r="T75" i="3"/>
  <c r="S75" i="3"/>
  <c r="W75" i="3" s="1"/>
  <c r="X74" i="3"/>
  <c r="Y74" i="3" s="1"/>
  <c r="V74" i="3"/>
  <c r="U74" i="3"/>
  <c r="T74" i="3"/>
  <c r="S74" i="3"/>
  <c r="W74" i="3" s="1"/>
  <c r="X73" i="3"/>
  <c r="Y73" i="3" s="1"/>
  <c r="W73" i="3"/>
  <c r="V73" i="3"/>
  <c r="U73" i="3"/>
  <c r="T73" i="3"/>
  <c r="S73" i="3"/>
  <c r="X72" i="3"/>
  <c r="Y72" i="3" s="1"/>
  <c r="V72" i="3"/>
  <c r="U72" i="3"/>
  <c r="T72" i="3"/>
  <c r="S72" i="3"/>
  <c r="W72" i="3" s="1"/>
  <c r="Y71" i="3"/>
  <c r="X71" i="3"/>
  <c r="V71" i="3"/>
  <c r="U71" i="3"/>
  <c r="T71" i="3"/>
  <c r="S71" i="3"/>
  <c r="W71" i="3" s="1"/>
  <c r="X70" i="3"/>
  <c r="Y70" i="3" s="1"/>
  <c r="W70" i="3"/>
  <c r="V70" i="3"/>
  <c r="U70" i="3"/>
  <c r="T70" i="3"/>
  <c r="S70" i="3"/>
  <c r="X69" i="3"/>
  <c r="Y69" i="3" s="1"/>
  <c r="W69" i="3"/>
  <c r="V69" i="3"/>
  <c r="U69" i="3"/>
  <c r="T69" i="3"/>
  <c r="S69" i="3"/>
  <c r="X68" i="3"/>
  <c r="Y68" i="3" s="1"/>
  <c r="V68" i="3"/>
  <c r="U68" i="3"/>
  <c r="T68" i="3"/>
  <c r="S68" i="3"/>
  <c r="W68" i="3" s="1"/>
  <c r="X67" i="3"/>
  <c r="Y67" i="3" s="1"/>
  <c r="V67" i="3"/>
  <c r="U67" i="3"/>
  <c r="T67" i="3"/>
  <c r="S67" i="3"/>
  <c r="W67" i="3" s="1"/>
  <c r="X66" i="3"/>
  <c r="Y66" i="3" s="1"/>
  <c r="W66" i="3"/>
  <c r="V66" i="3"/>
  <c r="U66" i="3"/>
  <c r="T66" i="3"/>
  <c r="S66" i="3"/>
  <c r="X65" i="3"/>
  <c r="Y65" i="3" s="1"/>
  <c r="V65" i="3"/>
  <c r="U65" i="3"/>
  <c r="T65" i="3"/>
  <c r="S65" i="3"/>
  <c r="W65" i="3" s="1"/>
  <c r="Y64" i="3"/>
  <c r="X64" i="3"/>
  <c r="V64" i="3"/>
  <c r="U64" i="3"/>
  <c r="T64" i="3"/>
  <c r="S64" i="3"/>
  <c r="W64" i="3" s="1"/>
  <c r="X63" i="3"/>
  <c r="Y63" i="3" s="1"/>
  <c r="W63" i="3"/>
  <c r="V63" i="3"/>
  <c r="U63" i="3"/>
  <c r="T63" i="3"/>
  <c r="S63" i="3"/>
  <c r="X62" i="3"/>
  <c r="Y62" i="3" s="1"/>
  <c r="V62" i="3"/>
  <c r="U62" i="3"/>
  <c r="T62" i="3"/>
  <c r="S62" i="3"/>
  <c r="W62" i="3" s="1"/>
  <c r="X61" i="3"/>
  <c r="Y61" i="3" s="1"/>
  <c r="V61" i="3"/>
  <c r="U61" i="3"/>
  <c r="T61" i="3"/>
  <c r="S61" i="3"/>
  <c r="W61" i="3" s="1"/>
  <c r="X60" i="3"/>
  <c r="Y60" i="3" s="1"/>
  <c r="W60" i="3"/>
  <c r="V60" i="3"/>
  <c r="U60" i="3"/>
  <c r="T60" i="3"/>
  <c r="S60" i="3"/>
  <c r="X59" i="3"/>
  <c r="Y59" i="3" s="1"/>
  <c r="W59" i="3"/>
  <c r="V59" i="3"/>
  <c r="U59" i="3"/>
  <c r="T59" i="3"/>
  <c r="S59" i="3"/>
  <c r="X58" i="3"/>
  <c r="Y58" i="3" s="1"/>
  <c r="V58" i="3"/>
  <c r="U58" i="3"/>
  <c r="T58" i="3"/>
  <c r="S58" i="3"/>
  <c r="W58" i="3" s="1"/>
  <c r="X57" i="3"/>
  <c r="Y57" i="3" s="1"/>
  <c r="W57" i="3"/>
  <c r="V57" i="3"/>
  <c r="U57" i="3"/>
  <c r="T57" i="3"/>
  <c r="S57" i="3"/>
  <c r="X56" i="3"/>
  <c r="Y56" i="3" s="1"/>
  <c r="W56" i="3"/>
  <c r="V56" i="3"/>
  <c r="U56" i="3"/>
  <c r="T56" i="3"/>
  <c r="S56" i="3"/>
  <c r="X55" i="3"/>
  <c r="Y55" i="3" s="1"/>
  <c r="V55" i="3"/>
  <c r="U55" i="3"/>
  <c r="T55" i="3"/>
  <c r="S55" i="3"/>
  <c r="W55" i="3" s="1"/>
  <c r="X54" i="3"/>
  <c r="Y54" i="3" s="1"/>
  <c r="V54" i="3"/>
  <c r="U54" i="3"/>
  <c r="T54" i="3"/>
  <c r="S54" i="3"/>
  <c r="W54" i="3" s="1"/>
  <c r="X53" i="3"/>
  <c r="Y53" i="3" s="1"/>
  <c r="W53" i="3"/>
  <c r="V53" i="3"/>
  <c r="U53" i="3"/>
  <c r="T53" i="3"/>
  <c r="S53" i="3"/>
  <c r="X52" i="3"/>
  <c r="Y52" i="3" s="1"/>
  <c r="V52" i="3"/>
  <c r="U52" i="3"/>
  <c r="T52" i="3"/>
  <c r="S52" i="3"/>
  <c r="W52" i="3" s="1"/>
  <c r="X51" i="3"/>
  <c r="Y51" i="3" s="1"/>
  <c r="V51" i="3"/>
  <c r="U51" i="3"/>
  <c r="T51" i="3"/>
  <c r="S51" i="3"/>
  <c r="W51" i="3" s="1"/>
  <c r="X50" i="3"/>
  <c r="Y50" i="3" s="1"/>
  <c r="W50" i="3"/>
  <c r="V50" i="3"/>
  <c r="U50" i="3"/>
  <c r="T50" i="3"/>
  <c r="S50" i="3"/>
  <c r="X49" i="3"/>
  <c r="Y49" i="3" s="1"/>
  <c r="W49" i="3"/>
  <c r="V49" i="3"/>
  <c r="U49" i="3"/>
  <c r="T49" i="3"/>
  <c r="S49" i="3"/>
  <c r="X48" i="3"/>
  <c r="Y48" i="3" s="1"/>
  <c r="V48" i="3"/>
  <c r="U48" i="3"/>
  <c r="T48" i="3"/>
  <c r="S48" i="3"/>
  <c r="W48" i="3" s="1"/>
  <c r="X47" i="3"/>
  <c r="Y47" i="3" s="1"/>
  <c r="V47" i="3"/>
  <c r="U47" i="3"/>
  <c r="T47" i="3"/>
  <c r="S47" i="3"/>
  <c r="W47" i="3" s="1"/>
  <c r="X46" i="3"/>
  <c r="Y46" i="3" s="1"/>
  <c r="W46" i="3"/>
  <c r="V46" i="3"/>
  <c r="U46" i="3"/>
  <c r="T46" i="3"/>
  <c r="S46" i="3"/>
  <c r="X45" i="3"/>
  <c r="Y45" i="3" s="1"/>
  <c r="V45" i="3"/>
  <c r="U45" i="3"/>
  <c r="T45" i="3"/>
  <c r="S45" i="3"/>
  <c r="W45" i="3" s="1"/>
  <c r="X44" i="3"/>
  <c r="Y44" i="3" s="1"/>
  <c r="V44" i="3"/>
  <c r="U44" i="3"/>
  <c r="T44" i="3"/>
  <c r="S44" i="3"/>
  <c r="W44" i="3" s="1"/>
  <c r="X43" i="3"/>
  <c r="Y43" i="3" s="1"/>
  <c r="W43" i="3"/>
  <c r="V43" i="3"/>
  <c r="U43" i="3"/>
  <c r="T43" i="3"/>
  <c r="S43" i="3"/>
  <c r="X42" i="3"/>
  <c r="Y42" i="3" s="1"/>
  <c r="V42" i="3"/>
  <c r="U42" i="3"/>
  <c r="T42" i="3"/>
  <c r="S42" i="3"/>
  <c r="W42" i="3" s="1"/>
  <c r="X41" i="3"/>
  <c r="Y41" i="3" s="1"/>
  <c r="V41" i="3"/>
  <c r="U41" i="3"/>
  <c r="T41" i="3"/>
  <c r="S41" i="3"/>
  <c r="W41" i="3" s="1"/>
  <c r="X40" i="3"/>
  <c r="Y40" i="3" s="1"/>
  <c r="W40" i="3"/>
  <c r="V40" i="3"/>
  <c r="U40" i="3"/>
  <c r="T40" i="3"/>
  <c r="S40" i="3"/>
  <c r="X39" i="3"/>
  <c r="Y39" i="3" s="1"/>
  <c r="W39" i="3"/>
  <c r="V39" i="3"/>
  <c r="U39" i="3"/>
  <c r="T39" i="3"/>
  <c r="S39" i="3"/>
  <c r="X38" i="3"/>
  <c r="Y38" i="3" s="1"/>
  <c r="V38" i="3"/>
  <c r="U38" i="3"/>
  <c r="T38" i="3"/>
  <c r="S38" i="3"/>
  <c r="W38" i="3" s="1"/>
  <c r="X37" i="3"/>
  <c r="Y37" i="3" s="1"/>
  <c r="W37" i="3"/>
  <c r="V37" i="3"/>
  <c r="U37" i="3"/>
  <c r="T37" i="3"/>
  <c r="S37" i="3"/>
  <c r="X36" i="3"/>
  <c r="Y36" i="3" s="1"/>
  <c r="W36" i="3"/>
  <c r="V36" i="3"/>
  <c r="U36" i="3"/>
  <c r="T36" i="3"/>
  <c r="S36" i="3"/>
  <c r="X35" i="3"/>
  <c r="Y35" i="3" s="1"/>
  <c r="V35" i="3"/>
  <c r="U35" i="3"/>
  <c r="T35" i="3"/>
  <c r="S35" i="3"/>
  <c r="W35" i="3" s="1"/>
  <c r="X34" i="3"/>
  <c r="Y34" i="3" s="1"/>
  <c r="V34" i="3"/>
  <c r="U34" i="3"/>
  <c r="T34" i="3"/>
  <c r="S34" i="3"/>
  <c r="W34" i="3" s="1"/>
  <c r="X33" i="3"/>
  <c r="Y33" i="3" s="1"/>
  <c r="W33" i="3"/>
  <c r="V33" i="3"/>
  <c r="U33" i="3"/>
  <c r="T33" i="3"/>
  <c r="S33" i="3"/>
  <c r="X32" i="3"/>
  <c r="Y32" i="3" s="1"/>
  <c r="V32" i="3"/>
  <c r="U32" i="3"/>
  <c r="T32" i="3"/>
  <c r="S32" i="3"/>
  <c r="W32" i="3" s="1"/>
  <c r="X31" i="3"/>
  <c r="Y31" i="3" s="1"/>
  <c r="V31" i="3"/>
  <c r="U31" i="3"/>
  <c r="T31" i="3"/>
  <c r="S31" i="3"/>
  <c r="W31" i="3" s="1"/>
  <c r="X30" i="3"/>
  <c r="Y30" i="3" s="1"/>
  <c r="W30" i="3"/>
  <c r="V30" i="3"/>
  <c r="U30" i="3"/>
  <c r="T30" i="3"/>
  <c r="S30" i="3"/>
  <c r="X29" i="3"/>
  <c r="Y29" i="3" s="1"/>
  <c r="W29" i="3"/>
  <c r="V29" i="3"/>
  <c r="U29" i="3"/>
  <c r="T29" i="3"/>
  <c r="S29" i="3"/>
  <c r="X28" i="3"/>
  <c r="Y28" i="3" s="1"/>
  <c r="V28" i="3"/>
  <c r="U28" i="3"/>
  <c r="T28" i="3"/>
  <c r="S28" i="3"/>
  <c r="W28" i="3" s="1"/>
  <c r="X27" i="3"/>
  <c r="Y27" i="3" s="1"/>
  <c r="V27" i="3"/>
  <c r="U27" i="3"/>
  <c r="T27" i="3"/>
  <c r="S27" i="3"/>
  <c r="W27" i="3" s="1"/>
  <c r="X26" i="3"/>
  <c r="Y26" i="3" s="1"/>
  <c r="W26" i="3"/>
  <c r="V26" i="3"/>
  <c r="U26" i="3"/>
  <c r="T26" i="3"/>
  <c r="S26" i="3"/>
  <c r="X25" i="3"/>
  <c r="Y25" i="3" s="1"/>
  <c r="V25" i="3"/>
  <c r="U25" i="3"/>
  <c r="T25" i="3"/>
  <c r="S25" i="3"/>
  <c r="W25" i="3" s="1"/>
  <c r="X24" i="3"/>
  <c r="Y24" i="3" s="1"/>
  <c r="V24" i="3"/>
  <c r="U24" i="3"/>
  <c r="T24" i="3"/>
  <c r="S24" i="3"/>
  <c r="W24" i="3" s="1"/>
  <c r="X23" i="3"/>
  <c r="Y23" i="3" s="1"/>
  <c r="W23" i="3"/>
  <c r="V23" i="3"/>
  <c r="U23" i="3"/>
  <c r="T23" i="3"/>
  <c r="S23" i="3"/>
  <c r="X22" i="3"/>
  <c r="Y22" i="3" s="1"/>
  <c r="V22" i="3"/>
  <c r="U22" i="3"/>
  <c r="T22" i="3"/>
  <c r="S22" i="3"/>
  <c r="W22" i="3" s="1"/>
  <c r="X21" i="3"/>
  <c r="Y21" i="3" s="1"/>
  <c r="V21" i="3"/>
  <c r="U21" i="3"/>
  <c r="T21" i="3"/>
  <c r="S21" i="3"/>
  <c r="W21" i="3" s="1"/>
  <c r="X20" i="3"/>
  <c r="Y20" i="3" s="1"/>
  <c r="W20" i="3"/>
  <c r="V20" i="3"/>
  <c r="U20" i="3"/>
  <c r="T20" i="3"/>
  <c r="S20" i="3"/>
  <c r="X19" i="3"/>
  <c r="Y19" i="3" s="1"/>
  <c r="W19" i="3"/>
  <c r="V19" i="3"/>
  <c r="U19" i="3"/>
  <c r="T19" i="3"/>
  <c r="S19" i="3"/>
  <c r="X18" i="3"/>
  <c r="Y18" i="3" s="1"/>
  <c r="V18" i="3"/>
  <c r="U18" i="3"/>
  <c r="T18" i="3"/>
  <c r="S18" i="3"/>
  <c r="W18" i="3" s="1"/>
  <c r="X17" i="3"/>
  <c r="Y17" i="3" s="1"/>
  <c r="W17" i="3"/>
  <c r="V17" i="3"/>
  <c r="U17" i="3"/>
  <c r="T17" i="3"/>
  <c r="S17" i="3"/>
  <c r="X16" i="3"/>
  <c r="Y16" i="3" s="1"/>
  <c r="W16" i="3"/>
  <c r="V16" i="3"/>
  <c r="U16" i="3"/>
  <c r="T16" i="3"/>
  <c r="S16" i="3"/>
  <c r="X15" i="3"/>
  <c r="Y15" i="3" s="1"/>
  <c r="V15" i="3"/>
  <c r="U15" i="3"/>
  <c r="T15" i="3"/>
  <c r="S15" i="3"/>
  <c r="W15" i="3" s="1"/>
  <c r="X14" i="3"/>
  <c r="Y14" i="3" s="1"/>
  <c r="V14" i="3"/>
  <c r="U14" i="3"/>
  <c r="T14" i="3"/>
  <c r="S14" i="3"/>
  <c r="W14" i="3" s="1"/>
  <c r="X13" i="3"/>
  <c r="Y13" i="3" s="1"/>
  <c r="W13" i="3"/>
  <c r="V13" i="3"/>
  <c r="U13" i="3"/>
  <c r="T13" i="3"/>
  <c r="S13" i="3"/>
  <c r="X12" i="3"/>
  <c r="Y12" i="3" s="1"/>
  <c r="V12" i="3"/>
  <c r="U12" i="3"/>
  <c r="T12" i="3"/>
  <c r="S12" i="3"/>
  <c r="W12" i="3" s="1"/>
  <c r="Y11" i="3"/>
  <c r="X11" i="3"/>
  <c r="V11" i="3"/>
  <c r="U11" i="3"/>
  <c r="T11" i="3"/>
  <c r="S11" i="3"/>
  <c r="W11" i="3" s="1"/>
  <c r="X10" i="3"/>
  <c r="Y10" i="3" s="1"/>
  <c r="W10" i="3"/>
  <c r="V10" i="3"/>
  <c r="U10" i="3"/>
  <c r="T10" i="3"/>
  <c r="S10" i="3"/>
  <c r="X9" i="3"/>
  <c r="Y9" i="3" s="1"/>
  <c r="W9" i="3"/>
  <c r="V9" i="3"/>
  <c r="U9" i="3"/>
  <c r="T9" i="3"/>
  <c r="S9" i="3"/>
  <c r="X8" i="3"/>
  <c r="Y8" i="3" s="1"/>
  <c r="V8" i="3"/>
  <c r="U8" i="3"/>
  <c r="T8" i="3"/>
  <c r="S8" i="3"/>
  <c r="W8" i="3" s="1"/>
  <c r="X7" i="3"/>
  <c r="Y7" i="3" s="1"/>
  <c r="V7" i="3"/>
  <c r="U7" i="3"/>
  <c r="T7" i="3"/>
  <c r="S7" i="3"/>
  <c r="W7" i="3" s="1"/>
  <c r="X6" i="3"/>
  <c r="Y6" i="3" s="1"/>
  <c r="W6" i="3"/>
  <c r="V6" i="3"/>
  <c r="U6" i="3"/>
  <c r="T6" i="3"/>
  <c r="S6" i="3"/>
  <c r="X5" i="3"/>
  <c r="Y5" i="3" s="1"/>
  <c r="V5" i="3"/>
  <c r="U5" i="3"/>
  <c r="T5" i="3"/>
  <c r="S5" i="3"/>
  <c r="W5" i="3" s="1"/>
  <c r="V4" i="3"/>
  <c r="X4" i="3" s="1"/>
  <c r="Y4" i="3" s="1"/>
  <c r="U4" i="3"/>
  <c r="B21" i="4" s="1"/>
  <c r="T4" i="3"/>
  <c r="S4" i="3"/>
  <c r="B23" i="4" l="1"/>
  <c r="G7" i="4"/>
  <c r="K7" i="4" s="1"/>
  <c r="W4" i="3"/>
  <c r="B22" i="4" s="1"/>
  <c r="B9" i="4"/>
  <c r="B11" i="4" s="1"/>
  <c r="B14" i="4"/>
  <c r="B15" i="4"/>
  <c r="B16" i="4"/>
</calcChain>
</file>

<file path=xl/sharedStrings.xml><?xml version="1.0" encoding="utf-8"?>
<sst xmlns="http://schemas.openxmlformats.org/spreadsheetml/2006/main" count="133" uniqueCount="126">
  <si>
    <t>投资实盘记录 · 假设-概率-归因日志</t>
  </si>
  <si>
    <t>核心目的：不是记流水赚了多少，而是证明你的判断“可校准”——说 70% 会兑现，事后真有约 70% 兑现。这对量化/投研岗与未来 LP 都是最硬的可信度。</t>
  </si>
  <si>
    <t>填哪些格子</t>
  </si>
  <si>
    <t>① 蓝色区（A–O）：建仓当天填，填完就在雪球/公开处发出去、之后不再改。事前锁定不可改，正是真记录和事后编故事的分水岭。</t>
  </si>
  <si>
    <t>② 橙色区（P–R、Z）：平仓当天填。实际收益、假设是否兑现（是/部分/否）、复盘一句话。</t>
  </si>
  <si>
    <t>③ 灰色区（S–Y）：公式自动算，不要动。</t>
  </si>
  <si>
    <t>概率、仓位、收益直接输百分数（如 65%）；概率/仓位限 0–100%，收益可为负。</t>
  </si>
  <si>
    <t>关键字段怎么想</t>
  </si>
  <si>
    <t>• 假设：必须一句话、可证伪。含糊的假设事后无法判定成没成，归因就失效。</t>
  </si>
  <si>
    <t>• 主观概率：你认为“假设成立”的概率，是校准分析的输入，逼自己给依据而非拍脑袋。</t>
  </si>
  <si>
    <t>• 失效条件(kill)：出现什么就认错离场。事前写死，防止事后合理化。</t>
  </si>
  <si>
    <t>• invest-infer 边/机制：这笔靠哪条传导逻辑（supplies/demands…）。用于分机制统计哪种逻辑真有效、哪种是幻觉。</t>
  </si>
  <si>
    <t>看板怎么读</t>
  </si>
  <si>
    <t>• 双胜率：假设兑现率 vs 盈亏胜率。两者差值本身有信息——兑现率高但盈亏率低=逻辑对却没赚到（择时/执行问题）。</t>
  </si>
  <si>
    <t>• 归因四象限：把“对不对”和“赚不赚”分开。拿去展示的关键数字是“对且赚”的占比，以及你敢承认“错但赚=运气”。</t>
  </si>
  <si>
    <t>• 校准曲线：点贴近 45° 对角线=概率给得准。这几乎是 NLP-QR/quant 岗想验证的核心能力的直接演示。</t>
  </si>
  <si>
    <t>• Brier 分数：预测与结果的平方误差均值，越低越好（完美=0，瞎猜≈0.25）。</t>
  </si>
  <si>
    <t>• 最大回撤：按你录入的先后顺序累计账户贡献算的近似值——所以请尽量按平仓时间顺序录入。跌破 -10% 的单元格会标红，对应你的回撤纪律。</t>
  </si>
  <si>
    <t>归因四象限定义</t>
  </si>
  <si>
    <t>对且赚 = 假设兑现(是/部分)且盈利｜对但亏 = 兑现但亏损｜错但赚 = 未兑现却赚(运气)｜错且亏 = 未兑现且亏损</t>
  </si>
  <si>
    <t>闭环用法</t>
  </si>
  <si>
    <t>每一笔平仓 = 一条带标签的数据：(特征=当时触发了哪些边/信号) →(标签=实际兑没兑现)。这份日志既是求职与 LP 的可信度证据，也是校准和迭代 invest-infer 的 ground truth 数据集。</t>
  </si>
  <si>
    <t>说明：本表为空白模板，公式已内置。“交易日志”第 4 行为示例行，理解格式后可整行删除。本文件不构成投资建议。</t>
  </si>
  <si>
    <t>invest-infer 边/机制</t>
  </si>
  <si>
    <t>策略标签</t>
  </si>
  <si>
    <t>假设是否兑现</t>
  </si>
  <si>
    <t>supplies</t>
  </si>
  <si>
    <t>大账户·质量成长</t>
  </si>
  <si>
    <t>是</t>
  </si>
  <si>
    <t>supplies_to</t>
  </si>
  <si>
    <t>部分</t>
  </si>
  <si>
    <t>demands</t>
  </si>
  <si>
    <t>β母层</t>
  </si>
  <si>
    <t>否</t>
  </si>
  <si>
    <t>implements</t>
  </si>
  <si>
    <t>逆向/困境反转</t>
  </si>
  <si>
    <t>masters</t>
  </si>
  <si>
    <t>其他</t>
  </si>
  <si>
    <t>certified_by</t>
  </si>
  <si>
    <t>located_in</t>
  </si>
  <si>
    <t>affects</t>
  </si>
  <si>
    <t>substitutes</t>
  </si>
  <si>
    <t>competes_with</t>
  </si>
  <si>
    <t>complements</t>
  </si>
  <si>
    <t>belongs_to</t>
  </si>
  <si>
    <t>宏观/政策</t>
  </si>
  <si>
    <t>情绪/资金</t>
  </si>
  <si>
    <t>① 建仓时锁定（发布后不修改）</t>
  </si>
  <si>
    <t>② 平仓时填写</t>
  </si>
  <si>
    <t>③ 自动计算（勿改）</t>
  </si>
  <si>
    <t>④ 平仓复盘</t>
  </si>
  <si>
    <t>编号</t>
  </si>
  <si>
    <t>建仓日期</t>
  </si>
  <si>
    <t>标的</t>
  </si>
  <si>
    <t>代码</t>
  </si>
  <si>
    <t>假设（可证伪·一句话）</t>
  </si>
  <si>
    <t>关键驱动 / 逻辑链</t>
  </si>
  <si>
    <t>主观概率</t>
  </si>
  <si>
    <t>概率依据</t>
  </si>
  <si>
    <t>兑现路径与时间窗</t>
  </si>
  <si>
    <t>失效条件（kill）</t>
  </si>
  <si>
    <t>仓位%</t>
  </si>
  <si>
    <t>预期盈亏比</t>
  </si>
  <si>
    <t>目标价/止损</t>
  </si>
  <si>
    <t>平仓日期</t>
  </si>
  <si>
    <t>实际收益%</t>
  </si>
  <si>
    <t>兑现数值</t>
  </si>
  <si>
    <t>归因象限</t>
  </si>
  <si>
    <t>持仓天数</t>
  </si>
  <si>
    <t>账户贡献</t>
  </si>
  <si>
    <t>预测平方误差</t>
  </si>
  <si>
    <t>累计账户收益</t>
  </si>
  <si>
    <t>回撤</t>
  </si>
  <si>
    <t>复盘（一句话）</t>
  </si>
  <si>
    <t>Wed Jul 15 2026 08:00:00 GMT+0800 (China Standard Time)</t>
  </si>
  <si>
    <t>永新光学</t>
  </si>
  <si>
    <t>车载镜头放量驱动 25H2 营收加速，市占率提升逻辑兑现</t>
  </si>
  <si>
    <t>下游车载需求→镜头订单→营收（demands 逆链上传 + supplies）</t>
  </si>
  <si>
    <t>Q2 调研车载订单环比+30%，大客户导入进度超预期</t>
  </si>
  <si>
    <t>25Q3 营收同比&gt;25% 且车载占比提升（窗口 3 个月）</t>
  </si>
  <si>
    <t>车载营收环比转负 或 大客户砍单</t>
  </si>
  <si>
    <t>目标92/止损76</t>
  </si>
  <si>
    <t>Sun Sep 20 2026 08:00:00 GMT+0800 (China Standard Time)</t>
  </si>
  <si>
    <t>逻辑如期兑现且盈利；车载放量确认，回看仓位可更重</t>
  </si>
  <si>
    <t>← 示例行，理解格式后可整行删除</t>
  </si>
  <si>
    <t>校准与归因看板</t>
  </si>
  <si>
    <t>一、概览</t>
  </si>
  <si>
    <t>五、校准表</t>
  </si>
  <si>
    <t>总记录数</t>
  </si>
  <si>
    <t>概率区间</t>
  </si>
  <si>
    <t>预测中值</t>
  </si>
  <si>
    <t>样本数</t>
  </si>
  <si>
    <t>实际兑现率</t>
  </si>
  <si>
    <t>已平仓</t>
  </si>
  <si>
    <t>&lt;50%</t>
  </si>
  <si>
    <t>持仓中</t>
  </si>
  <si>
    <t>50–60%</t>
  </si>
  <si>
    <t>60–70%</t>
  </si>
  <si>
    <t>二、双胜率</t>
  </si>
  <si>
    <t>70–80%</t>
  </si>
  <si>
    <t>假设兑现率（部分计0.5）</t>
  </si>
  <si>
    <t>80–90%</t>
  </si>
  <si>
    <t>盈亏胜率</t>
  </si>
  <si>
    <t>≥90%</t>
  </si>
  <si>
    <t>差值（兑现-盈亏）</t>
  </si>
  <si>
    <t>右图：点越贴近对角线，说明你的概率越校准。样本数=0 的区间，点默认落在对角线上（即无信息）。</t>
  </si>
  <si>
    <t>三、归因四象限（占已平仓）</t>
  </si>
  <si>
    <t>对且赚（真alpha）</t>
  </si>
  <si>
    <t>对但亏（择时/执行）</t>
  </si>
  <si>
    <t>错但赚（运气·警惕）</t>
  </si>
  <si>
    <t>错且亏（被正确惩罚）</t>
  </si>
  <si>
    <t>四、风险与效率</t>
  </si>
  <si>
    <t>盈亏比（均盈/均亏）</t>
  </si>
  <si>
    <t>平均持仓天数</t>
  </si>
  <si>
    <t>Brier 分数（越低越好）</t>
  </si>
  <si>
    <t>最大回撤（按录入顺序）</t>
  </si>
  <si>
    <t>柏诚股份</t>
    <phoneticPr fontId="22" type="noConversion"/>
  </si>
  <si>
    <r>
      <rPr>
        <sz val="10"/>
        <rFont val="微软雅黑"/>
        <family val="2"/>
        <charset val="134"/>
      </rPr>
      <t>半导体资本开支进入新一轮扩张周期，柏诚超大规模半导体洁净室订单将在未来</t>
    </r>
    <r>
      <rPr>
        <sz val="10"/>
        <rFont val="Arial"/>
        <family val="2"/>
      </rPr>
      <t>6</t>
    </r>
    <r>
      <rPr>
        <sz val="10"/>
        <rFont val="Arial"/>
        <family val="2"/>
        <charset val="1"/>
      </rPr>
      <t>–</t>
    </r>
    <r>
      <rPr>
        <sz val="10"/>
        <rFont val="Arial"/>
        <family val="2"/>
      </rPr>
      <t>18</t>
    </r>
    <r>
      <rPr>
        <sz val="10"/>
        <rFont val="微软雅黑"/>
        <family val="2"/>
        <charset val="134"/>
      </rPr>
      <t>个月持续转化为收入和利润，使公司利润增速显著高于市场当前定价。</t>
    </r>
    <phoneticPr fontId="22" type="noConversion"/>
  </si>
  <si>
    <t>半导体扩产 → 洁净室属于资本开支前置环节 → 洁净室订单先增长 → 柏诚新签/在手订单爆发 → 2026H2–2027进入密集执行 → 收入确认加速 → 毛利率改善 → 利润弹性释放 → 市场重新定价</t>
  </si>
  <si>
    <r>
      <t xml:space="preserve">2026H1新签订单 </t>
    </r>
    <r>
      <rPr>
        <b/>
        <sz val="11"/>
        <color theme="1"/>
        <rFont val="宋体"/>
        <family val="3"/>
        <charset val="134"/>
        <scheme val="minor"/>
      </rPr>
      <t>58.33亿元</t>
    </r>
    <r>
      <rPr>
        <sz val="11"/>
        <color theme="1"/>
        <rFont val="宋体"/>
        <family val="2"/>
        <scheme val="minor"/>
      </rPr>
      <t xml:space="preserve">，已经超过2025全年；其中半导体及泛半导体 </t>
    </r>
    <r>
      <rPr>
        <b/>
        <sz val="11"/>
        <color theme="1"/>
        <rFont val="宋体"/>
        <family val="3"/>
        <charset val="134"/>
        <scheme val="minor"/>
      </rPr>
      <t>45.84亿元，占78.6%</t>
    </r>
    <r>
      <rPr>
        <sz val="11"/>
        <color theme="1"/>
        <rFont val="宋体"/>
        <family val="2"/>
        <scheme val="minor"/>
      </rPr>
      <t xml:space="preserve">。6月底在手订单 </t>
    </r>
    <r>
      <rPr>
        <b/>
        <sz val="11"/>
        <color theme="1"/>
        <rFont val="宋体"/>
        <family val="3"/>
        <charset val="134"/>
        <scheme val="minor"/>
      </rPr>
      <t>56.29亿元，同比+222.15%</t>
    </r>
    <r>
      <rPr>
        <sz val="11"/>
        <color theme="1"/>
        <rFont val="宋体"/>
        <family val="2"/>
        <scheme val="minor"/>
      </rPr>
      <t xml:space="preserve">；7/1–8/25又新增订单 </t>
    </r>
    <r>
      <rPr>
        <b/>
        <sz val="11"/>
        <color theme="1"/>
        <rFont val="宋体"/>
        <family val="3"/>
        <charset val="134"/>
        <scheme val="minor"/>
      </rPr>
      <t>10.34亿元</t>
    </r>
    <r>
      <rPr>
        <sz val="11"/>
        <color theme="1"/>
        <rFont val="宋体"/>
        <family val="2"/>
        <scheme val="minor"/>
      </rPr>
      <t>，其中境内半导体占83.73%。订单已经从“预期”进入“已签合同”阶段。</t>
    </r>
  </si>
  <si>
    <r>
      <t xml:space="preserve">**2026Q4：**订单执行加速；**2027H1：**大规模订单进入收入确认；**2027H2：**利润弹性进一步释放；若半导体CAPEX继续扩张，2028年仍可能维持较高订单景气。公司披露项目正常密集执行期约 </t>
    </r>
    <r>
      <rPr>
        <b/>
        <sz val="11"/>
        <color theme="1"/>
        <rFont val="宋体"/>
        <family val="3"/>
        <charset val="134"/>
        <scheme val="minor"/>
      </rPr>
      <t>6–12个月</t>
    </r>
    <r>
      <rPr>
        <sz val="11"/>
        <color theme="1"/>
        <rFont val="宋体"/>
        <family val="2"/>
        <scheme val="minor"/>
      </rPr>
      <t>。</t>
    </r>
  </si>
  <si>
    <r>
      <t>① 在手订单无法按计划转收入；② 半导体客户扩产明显放缓/取消；③ 新订单增速明显下降；④ 毛利率重新持续下滑；⑤ 2027年收入增长无法兑现当前订单基础；⑥ 大规模订单带来收入增长但</t>
    </r>
    <r>
      <rPr>
        <b/>
        <sz val="11"/>
        <color theme="1"/>
        <rFont val="宋体"/>
        <family val="3"/>
        <charset val="134"/>
        <scheme val="minor"/>
      </rPr>
      <t>利润率不升反降</t>
    </r>
    <r>
      <rPr>
        <sz val="11"/>
        <color theme="1"/>
        <rFont val="宋体"/>
        <family val="2"/>
        <scheme val="minor"/>
      </rPr>
      <t>，说明“订单→利润”的传导机制失效</t>
    </r>
  </si>
  <si>
    <t>40/22</t>
    <phoneticPr fontId="22" type="noConversion"/>
  </si>
  <si>
    <r>
      <rPr>
        <i/>
        <sz val="10"/>
        <rFont val="微软雅黑"/>
        <family val="2"/>
        <charset val="134"/>
      </rPr>
      <t>大账户</t>
    </r>
    <r>
      <rPr>
        <i/>
        <sz val="10"/>
        <rFont val="Arial"/>
        <family val="2"/>
      </rPr>
      <t>·</t>
    </r>
    <r>
      <rPr>
        <i/>
        <sz val="10"/>
        <rFont val="微软雅黑"/>
        <family val="2"/>
        <charset val="134"/>
      </rPr>
      <t>质量成长</t>
    </r>
    <phoneticPr fontId="22" type="noConversion"/>
  </si>
  <si>
    <r>
      <rPr>
        <sz val="10"/>
        <rFont val="微软雅黑"/>
        <family val="2"/>
        <charset val="134"/>
      </rPr>
      <t>小账户</t>
    </r>
    <r>
      <rPr>
        <sz val="10"/>
        <rFont val="Arial"/>
        <family val="2"/>
      </rPr>
      <t>·</t>
    </r>
    <r>
      <rPr>
        <sz val="10"/>
        <rFont val="微软雅黑"/>
        <family val="2"/>
        <charset val="134"/>
      </rPr>
      <t>题材事件</t>
    </r>
    <phoneticPr fontId="22" type="noConversion"/>
  </si>
  <si>
    <r>
      <t>小账户</t>
    </r>
    <r>
      <rPr>
        <sz val="10"/>
        <rFont val="Arial"/>
        <family val="2"/>
      </rPr>
      <t>·</t>
    </r>
    <r>
      <rPr>
        <sz val="10"/>
        <rFont val="宋体"/>
        <family val="3"/>
        <charset val="134"/>
      </rPr>
      <t>题材事件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</si>
</sst>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;@"/>
  </numFmts>
  <fonts count="31">
    <font>
      <sz val="11"/>
      <color theme="1"/>
      <name val="宋体"/>
      <family val="2"/>
      <scheme val="minor"/>
    </font>
    <font>
      <b/>
      <sz val="15"/>
      <color rgb="FF1F3864"/>
      <name val="Noto Sans CJK SC"/>
    </font>
    <font>
      <sz val="10"/>
      <color rgb="FF595959"/>
      <name val="Noto Sans CJK SC"/>
    </font>
    <font>
      <b/>
      <sz val="12"/>
      <color rgb="FFC55A11"/>
      <name val="Noto Sans CJK SC"/>
    </font>
    <font>
      <sz val="10"/>
      <color rgb="FF000000"/>
      <name val="Noto Sans CJK SC"/>
    </font>
    <font>
      <sz val="10"/>
      <color rgb="FF000000"/>
      <name val="Arial"/>
      <family val="2"/>
    </font>
    <font>
      <sz val="9"/>
      <color rgb="FF808080"/>
      <name val="Noto Sans CJK SC"/>
    </font>
    <font>
      <b/>
      <sz val="10"/>
      <name val="Arial"/>
      <family val="2"/>
    </font>
    <font>
      <b/>
      <sz val="10"/>
      <name val="Noto Sans CJK SC"/>
    </font>
    <font>
      <sz val="10"/>
      <name val="Arial"/>
      <family val="2"/>
    </font>
    <font>
      <sz val="10"/>
      <name val="Noto Sans CJK SC"/>
    </font>
    <font>
      <b/>
      <sz val="14"/>
      <color rgb="FFFFFFFF"/>
      <name val="Noto Sans CJK SC"/>
    </font>
    <font>
      <b/>
      <sz val="10"/>
      <color rgb="FFFFFFFF"/>
      <name val="Noto Sans CJK SC"/>
    </font>
    <font>
      <b/>
      <sz val="10"/>
      <color rgb="FFFFFFFF"/>
      <name val="Arial"/>
      <family val="2"/>
    </font>
    <font>
      <i/>
      <sz val="10"/>
      <name val="Arial"/>
      <family val="2"/>
    </font>
    <font>
      <i/>
      <sz val="10"/>
      <name val="Noto Sans CJK SC"/>
    </font>
    <font>
      <i/>
      <sz val="9"/>
      <color rgb="FFC55A11"/>
      <name val="Noto Sans CJK SC"/>
    </font>
    <font>
      <b/>
      <sz val="15"/>
      <color rgb="FFFFFFFF"/>
      <name val="Noto Sans CJK SC"/>
    </font>
    <font>
      <b/>
      <sz val="11"/>
      <color rgb="FF1F3864"/>
      <name val="Noto Sans CJK SC"/>
    </font>
    <font>
      <sz val="11"/>
      <name val="Arial"/>
      <family val="2"/>
    </font>
    <font>
      <sz val="11"/>
      <name val="Calibri"/>
      <family val="2"/>
    </font>
    <font>
      <sz val="9"/>
      <color rgb="FF595959"/>
      <name val="Noto Sans CJK SC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  <font>
      <sz val="10"/>
      <name val="Arial"/>
      <family val="2"/>
      <charset val="1"/>
    </font>
    <font>
      <sz val="10"/>
      <name val="Arial"/>
      <family val="2"/>
      <charset val="134"/>
    </font>
    <font>
      <b/>
      <sz val="11"/>
      <color theme="1"/>
      <name val="宋体"/>
      <family val="3"/>
      <charset val="134"/>
      <scheme val="minor"/>
    </font>
    <font>
      <i/>
      <sz val="10"/>
      <name val="微软雅黑"/>
      <family val="2"/>
      <charset val="134"/>
    </font>
    <font>
      <i/>
      <sz val="10"/>
      <name val="Noto Sans CJK SC"/>
      <family val="2"/>
      <charset val="134"/>
    </font>
    <font>
      <sz val="10"/>
      <name val="Noto Sans CJK SC"/>
      <family val="2"/>
      <charset val="134"/>
    </font>
    <font>
      <sz val="10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C55A11"/>
      </patternFill>
    </fill>
    <fill>
      <patternFill patternType="solid">
        <fgColor rgb="FF595959"/>
      </patternFill>
    </fill>
    <fill>
      <patternFill patternType="solid">
        <fgColor rgb="FF44546A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2" fillId="5" borderId="0" xfId="0" applyFont="1" applyFill="1" applyAlignment="1">
      <alignment horizontal="center" vertical="center"/>
    </xf>
    <xf numFmtId="0" fontId="12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/>
    </xf>
    <xf numFmtId="14" fontId="14" fillId="8" borderId="1" xfId="0" applyNumberFormat="1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left" vertical="center"/>
    </xf>
    <xf numFmtId="0" fontId="15" fillId="8" borderId="1" xfId="0" applyFont="1" applyFill="1" applyBorder="1" applyAlignment="1">
      <alignment horizontal="left" vertical="center" wrapText="1"/>
    </xf>
    <xf numFmtId="10" fontId="14" fillId="8" borderId="1" xfId="0" applyNumberFormat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 wrapText="1"/>
    </xf>
    <xf numFmtId="2" fontId="14" fillId="8" borderId="1" xfId="0" applyNumberFormat="1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2" fontId="14" fillId="9" borderId="1" xfId="0" applyNumberFormat="1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10" fontId="14" fillId="9" borderId="1" xfId="0" applyNumberFormat="1" applyFont="1" applyFill="1" applyBorder="1" applyAlignment="1">
      <alignment horizontal="center" vertical="center"/>
    </xf>
    <xf numFmtId="0" fontId="16" fillId="0" borderId="0" xfId="0" applyFont="1"/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10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2" fontId="9" fillId="9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0" fontId="9" fillId="9" borderId="1" xfId="0" applyNumberFormat="1" applyFont="1" applyFill="1" applyBorder="1" applyAlignment="1">
      <alignment horizontal="center" vertical="center"/>
    </xf>
    <xf numFmtId="0" fontId="18" fillId="0" borderId="0" xfId="0" applyFont="1"/>
    <xf numFmtId="0" fontId="4" fillId="0" borderId="0" xfId="0" applyFont="1"/>
    <xf numFmtId="0" fontId="19" fillId="10" borderId="1" xfId="0" applyFont="1" applyFill="1" applyBorder="1" applyAlignment="1">
      <alignment horizontal="center"/>
    </xf>
    <xf numFmtId="0" fontId="9" fillId="0" borderId="1" xfId="0" applyFont="1" applyBorder="1"/>
    <xf numFmtId="10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0" fontId="20" fillId="0" borderId="0" xfId="0" applyNumberFormat="1" applyFont="1"/>
    <xf numFmtId="10" fontId="19" fillId="10" borderId="1" xfId="0" applyNumberFormat="1" applyFont="1" applyFill="1" applyBorder="1" applyAlignment="1">
      <alignment horizontal="center"/>
    </xf>
    <xf numFmtId="0" fontId="21" fillId="0" borderId="0" xfId="0" applyFont="1"/>
    <xf numFmtId="2" fontId="19" fillId="10" borderId="1" xfId="0" applyNumberFormat="1" applyFont="1" applyFill="1" applyBorder="1" applyAlignment="1">
      <alignment horizontal="center"/>
    </xf>
    <xf numFmtId="0" fontId="5" fillId="0" borderId="0" xfId="0" applyFont="1"/>
    <xf numFmtId="0" fontId="11" fillId="3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left" vertical="center"/>
    </xf>
    <xf numFmtId="177" fontId="9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 wrapText="1"/>
    </xf>
    <xf numFmtId="9" fontId="0" fillId="0" borderId="0" xfId="0" applyNumberFormat="1"/>
    <xf numFmtId="20" fontId="0" fillId="0" borderId="0" xfId="0" applyNumberFormat="1"/>
    <xf numFmtId="0" fontId="28" fillId="8" borderId="1" xfId="0" applyFont="1" applyFill="1" applyBorder="1" applyAlignment="1">
      <alignment horizontal="center" vertical="center"/>
    </xf>
    <xf numFmtId="0" fontId="29" fillId="0" borderId="0" xfId="0" applyFont="1"/>
    <xf numFmtId="0" fontId="30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9"/>
  <sheetViews>
    <sheetView workbookViewId="0"/>
  </sheetViews>
  <sheetFormatPr defaultRowHeight="14"/>
  <cols>
    <col min="1" max="1" width="9.26953125" customWidth="1"/>
    <col min="2" max="2" width="42.1796875" customWidth="1"/>
    <col min="3" max="24" width="13.54296875" customWidth="1"/>
  </cols>
  <sheetData>
    <row r="1" spans="2:2" ht="15.5" customHeight="1">
      <c r="B1" s="1" t="s">
        <v>0</v>
      </c>
    </row>
    <row r="2" spans="2:2" ht="20" customHeight="1">
      <c r="B2" s="2" t="s">
        <v>1</v>
      </c>
    </row>
    <row r="4" spans="2:2" ht="13" customHeight="1">
      <c r="B4" s="3" t="s">
        <v>2</v>
      </c>
    </row>
    <row r="5" spans="2:2" ht="21" customHeight="1">
      <c r="B5" s="4" t="s">
        <v>3</v>
      </c>
    </row>
    <row r="6" spans="2:2" ht="11" customHeight="1">
      <c r="B6" s="4" t="s">
        <v>4</v>
      </c>
    </row>
    <row r="7" spans="2:2" ht="11" customHeight="1">
      <c r="B7" s="4" t="s">
        <v>5</v>
      </c>
    </row>
    <row r="8" spans="2:2" ht="11" customHeight="1">
      <c r="B8" s="4" t="s">
        <v>6</v>
      </c>
    </row>
    <row r="10" spans="2:2" ht="13" customHeight="1">
      <c r="B10" s="3" t="s">
        <v>7</v>
      </c>
    </row>
    <row r="11" spans="2:2" ht="11" customHeight="1">
      <c r="B11" s="4" t="s">
        <v>8</v>
      </c>
    </row>
    <row r="12" spans="2:2" ht="11" customHeight="1">
      <c r="B12" s="4" t="s">
        <v>9</v>
      </c>
    </row>
    <row r="13" spans="2:2" ht="11" customHeight="1">
      <c r="B13" s="4" t="s">
        <v>10</v>
      </c>
    </row>
    <row r="14" spans="2:2" ht="11" customHeight="1">
      <c r="B14" s="5" t="s">
        <v>11</v>
      </c>
    </row>
    <row r="16" spans="2:2" ht="13" customHeight="1">
      <c r="B16" s="3" t="s">
        <v>12</v>
      </c>
    </row>
    <row r="17" spans="2:2" ht="21" customHeight="1">
      <c r="B17" s="4" t="s">
        <v>13</v>
      </c>
    </row>
    <row r="18" spans="2:2" ht="21" customHeight="1">
      <c r="B18" s="4" t="s">
        <v>14</v>
      </c>
    </row>
    <row r="19" spans="2:2" ht="11" customHeight="1">
      <c r="B19" s="4" t="s">
        <v>15</v>
      </c>
    </row>
    <row r="20" spans="2:2" ht="11" customHeight="1">
      <c r="B20" s="5" t="s">
        <v>16</v>
      </c>
    </row>
    <row r="21" spans="2:2" ht="21" customHeight="1">
      <c r="B21" s="4" t="s">
        <v>17</v>
      </c>
    </row>
    <row r="23" spans="2:2" ht="13" customHeight="1">
      <c r="B23" s="3" t="s">
        <v>18</v>
      </c>
    </row>
    <row r="24" spans="2:2" ht="11" customHeight="1">
      <c r="B24" s="4" t="s">
        <v>19</v>
      </c>
    </row>
    <row r="26" spans="2:2" ht="13" customHeight="1">
      <c r="B26" s="3" t="s">
        <v>20</v>
      </c>
    </row>
    <row r="27" spans="2:2" ht="21" customHeight="1">
      <c r="B27" s="4" t="s">
        <v>21</v>
      </c>
    </row>
    <row r="29" spans="2:2" ht="10" customHeight="1">
      <c r="B29" s="6" t="s">
        <v>22</v>
      </c>
    </row>
  </sheetData>
  <phoneticPr fontId="2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3" sqref="B3"/>
    </sheetView>
  </sheetViews>
  <sheetFormatPr defaultRowHeight="14"/>
  <cols>
    <col min="1" max="1" width="18" customWidth="1"/>
    <col min="2" max="2" width="20" customWidth="1"/>
    <col min="3" max="3" width="14" customWidth="1"/>
    <col min="4" max="24" width="13.54296875" customWidth="1"/>
  </cols>
  <sheetData>
    <row r="1" spans="1:3" ht="10" customHeight="1">
      <c r="A1" s="7" t="s">
        <v>23</v>
      </c>
      <c r="B1" s="8" t="s">
        <v>24</v>
      </c>
      <c r="C1" s="8" t="s">
        <v>25</v>
      </c>
    </row>
    <row r="2" spans="1:3" ht="10" customHeight="1">
      <c r="A2" s="9" t="s">
        <v>26</v>
      </c>
      <c r="B2" s="10" t="s">
        <v>27</v>
      </c>
      <c r="C2" s="10" t="s">
        <v>28</v>
      </c>
    </row>
    <row r="3" spans="1:3" ht="14.5" customHeight="1">
      <c r="A3" s="9" t="s">
        <v>29</v>
      </c>
      <c r="B3" s="58" t="s">
        <v>124</v>
      </c>
      <c r="C3" s="10" t="s">
        <v>30</v>
      </c>
    </row>
    <row r="4" spans="1:3" ht="10" customHeight="1">
      <c r="A4" s="9" t="s">
        <v>31</v>
      </c>
      <c r="B4" s="9" t="s">
        <v>32</v>
      </c>
      <c r="C4" s="10" t="s">
        <v>33</v>
      </c>
    </row>
    <row r="5" spans="1:3" ht="10" customHeight="1">
      <c r="A5" s="9" t="s">
        <v>34</v>
      </c>
      <c r="B5" s="10" t="s">
        <v>35</v>
      </c>
      <c r="C5" s="9"/>
    </row>
    <row r="6" spans="1:3" ht="10" customHeight="1">
      <c r="A6" s="9" t="s">
        <v>36</v>
      </c>
      <c r="B6" s="10" t="s">
        <v>37</v>
      </c>
      <c r="C6" s="9"/>
    </row>
    <row r="7" spans="1:3" ht="10" customHeight="1">
      <c r="A7" s="9" t="s">
        <v>38</v>
      </c>
      <c r="B7" s="9"/>
      <c r="C7" s="9"/>
    </row>
    <row r="8" spans="1:3" ht="10" customHeight="1">
      <c r="A8" s="9" t="s">
        <v>39</v>
      </c>
      <c r="B8" s="9"/>
      <c r="C8" s="9"/>
    </row>
    <row r="9" spans="1:3" ht="10" customHeight="1">
      <c r="A9" s="9" t="s">
        <v>40</v>
      </c>
      <c r="B9" s="9"/>
      <c r="C9" s="9"/>
    </row>
    <row r="10" spans="1:3" ht="10" customHeight="1">
      <c r="A10" s="9" t="s">
        <v>41</v>
      </c>
      <c r="B10" s="9"/>
      <c r="C10" s="9"/>
    </row>
    <row r="11" spans="1:3" ht="10" customHeight="1">
      <c r="A11" s="9" t="s">
        <v>42</v>
      </c>
      <c r="B11" s="9"/>
      <c r="C11" s="9"/>
    </row>
    <row r="12" spans="1:3" ht="10" customHeight="1">
      <c r="A12" s="9" t="s">
        <v>43</v>
      </c>
      <c r="B12" s="9"/>
      <c r="C12" s="9"/>
    </row>
    <row r="13" spans="1:3" ht="10" customHeight="1">
      <c r="A13" s="9" t="s">
        <v>44</v>
      </c>
      <c r="B13" s="9"/>
      <c r="C13" s="9"/>
    </row>
    <row r="14" spans="1:3" ht="10" customHeight="1">
      <c r="A14" s="10" t="s">
        <v>45</v>
      </c>
      <c r="B14" s="9"/>
      <c r="C14" s="9"/>
    </row>
    <row r="15" spans="1:3" ht="10" customHeight="1">
      <c r="A15" s="10" t="s">
        <v>46</v>
      </c>
      <c r="B15" s="9"/>
      <c r="C15" s="9"/>
    </row>
    <row r="16" spans="1:3" ht="10" customHeight="1">
      <c r="A16" s="10" t="s">
        <v>37</v>
      </c>
      <c r="B16" s="9"/>
      <c r="C16" s="9"/>
    </row>
  </sheetData>
  <phoneticPr fontId="22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03"/>
  <sheetViews>
    <sheetView tabSelected="1" workbookViewId="0">
      <pane xSplit="4" ySplit="3" topLeftCell="E4" activePane="bottomRight" state="frozen"/>
      <selection pane="topRight"/>
      <selection pane="bottomLeft"/>
      <selection pane="bottomRight" activeCell="N17" sqref="N17"/>
    </sheetView>
  </sheetViews>
  <sheetFormatPr defaultRowHeight="14"/>
  <cols>
    <col min="1" max="1" width="9.26953125" customWidth="1"/>
    <col min="2" max="3" width="12" customWidth="1"/>
    <col min="4" max="4" width="9.26953125" customWidth="1"/>
    <col min="5" max="5" width="76.1796875" customWidth="1"/>
    <col min="6" max="6" width="30" customWidth="1"/>
    <col min="7" max="7" width="16" customWidth="1"/>
    <col min="8" max="8" width="10" customWidth="1"/>
    <col min="9" max="9" width="28" customWidth="1"/>
    <col min="10" max="11" width="26" customWidth="1"/>
    <col min="12" max="12" width="9.26953125" customWidth="1"/>
    <col min="13" max="13" width="11" customWidth="1"/>
    <col min="14" max="14" width="13" customWidth="1"/>
    <col min="15" max="15" width="16" customWidth="1"/>
    <col min="16" max="16" width="12" customWidth="1"/>
    <col min="17" max="17" width="11" customWidth="1"/>
    <col min="18" max="18" width="13" customWidth="1"/>
    <col min="19" max="19" width="9.26953125" customWidth="1"/>
    <col min="20" max="20" width="11" customWidth="1"/>
    <col min="21" max="21" width="9.26953125" customWidth="1"/>
    <col min="22" max="22" width="11" customWidth="1"/>
    <col min="23" max="23" width="12" customWidth="1"/>
    <col min="24" max="24" width="13" customWidth="1"/>
    <col min="25" max="25" width="10" customWidth="1"/>
    <col min="26" max="26" width="34" customWidth="1"/>
    <col min="27" max="28" width="13.54296875" customWidth="1"/>
  </cols>
  <sheetData>
    <row r="1" spans="1:28" ht="25.5" customHeight="1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8" ht="18" customHeight="1">
      <c r="A2" s="48" t="s">
        <v>47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9" t="s">
        <v>48</v>
      </c>
      <c r="Q2" s="49"/>
      <c r="R2" s="49"/>
      <c r="S2" s="50" t="s">
        <v>49</v>
      </c>
      <c r="T2" s="50"/>
      <c r="U2" s="50"/>
      <c r="V2" s="50"/>
      <c r="W2" s="50"/>
      <c r="X2" s="50"/>
      <c r="Y2" s="50"/>
      <c r="Z2" s="11" t="s">
        <v>50</v>
      </c>
    </row>
    <row r="3" spans="1:28" ht="30" customHeight="1">
      <c r="A3" s="12" t="s">
        <v>51</v>
      </c>
      <c r="B3" s="12" t="s">
        <v>52</v>
      </c>
      <c r="C3" s="12" t="s">
        <v>53</v>
      </c>
      <c r="D3" s="12" t="s">
        <v>54</v>
      </c>
      <c r="E3" s="12" t="s">
        <v>55</v>
      </c>
      <c r="F3" s="12" t="s">
        <v>56</v>
      </c>
      <c r="G3" s="13" t="s">
        <v>23</v>
      </c>
      <c r="H3" s="12" t="s">
        <v>57</v>
      </c>
      <c r="I3" s="12" t="s">
        <v>58</v>
      </c>
      <c r="J3" s="12" t="s">
        <v>59</v>
      </c>
      <c r="K3" s="12" t="s">
        <v>60</v>
      </c>
      <c r="L3" s="12" t="s">
        <v>61</v>
      </c>
      <c r="M3" s="12" t="s">
        <v>62</v>
      </c>
      <c r="N3" s="12" t="s">
        <v>63</v>
      </c>
      <c r="O3" s="12" t="s">
        <v>24</v>
      </c>
      <c r="P3" s="12" t="s">
        <v>64</v>
      </c>
      <c r="Q3" s="12" t="s">
        <v>65</v>
      </c>
      <c r="R3" s="12" t="s">
        <v>25</v>
      </c>
      <c r="S3" s="12" t="s">
        <v>66</v>
      </c>
      <c r="T3" s="12" t="s">
        <v>67</v>
      </c>
      <c r="U3" s="12" t="s">
        <v>68</v>
      </c>
      <c r="V3" s="12" t="s">
        <v>69</v>
      </c>
      <c r="W3" s="12" t="s">
        <v>70</v>
      </c>
      <c r="X3" s="12" t="s">
        <v>71</v>
      </c>
      <c r="Y3" s="12" t="s">
        <v>72</v>
      </c>
      <c r="Z3" s="12" t="s">
        <v>73</v>
      </c>
    </row>
    <row r="4" spans="1:28" ht="30" customHeight="1">
      <c r="A4" s="14">
        <v>1</v>
      </c>
      <c r="B4" s="15" t="s">
        <v>74</v>
      </c>
      <c r="C4" s="16" t="s">
        <v>75</v>
      </c>
      <c r="D4" s="14">
        <v>603297</v>
      </c>
      <c r="E4" s="17" t="s">
        <v>76</v>
      </c>
      <c r="F4" s="17" t="s">
        <v>77</v>
      </c>
      <c r="G4" s="14" t="s">
        <v>31</v>
      </c>
      <c r="H4" s="18">
        <v>0.65</v>
      </c>
      <c r="I4" s="19" t="s">
        <v>78</v>
      </c>
      <c r="J4" s="19" t="s">
        <v>79</v>
      </c>
      <c r="K4" s="17" t="s">
        <v>80</v>
      </c>
      <c r="L4" s="18">
        <v>0.08</v>
      </c>
      <c r="M4" s="20">
        <v>2.5</v>
      </c>
      <c r="N4" s="16" t="s">
        <v>81</v>
      </c>
      <c r="O4" s="57" t="s">
        <v>123</v>
      </c>
      <c r="P4" s="15" t="s">
        <v>82</v>
      </c>
      <c r="Q4" s="18">
        <v>0.14000000000000001</v>
      </c>
      <c r="R4" s="21" t="s">
        <v>28</v>
      </c>
      <c r="S4" s="22">
        <f t="shared" ref="S4:S35" si="0">IF(R4="","",IF(R4="是",1,IF(R4="部分",0.5,0)))</f>
        <v>1</v>
      </c>
      <c r="T4" s="23" t="str">
        <f t="shared" ref="T4:T35" si="1">IF(OR(Q4="",R4=""),"",IF(OR(R4="是",R4="部分"),IF(Q4&gt;0,"对且赚","对但亏"),IF(Q4&gt;0,"错但赚","错且亏")))</f>
        <v>对且赚</v>
      </c>
      <c r="U4" s="24" t="e">
        <f t="shared" ref="U4:U35" si="2">IF(OR(P4="",B4=""),"",P4-B4)</f>
        <v>#VALUE!</v>
      </c>
      <c r="V4" s="25">
        <f t="shared" ref="V4:V35" si="3">IF(OR(L4="",Q4=""),"",L4*Q4)</f>
        <v>1.1200000000000002E-2</v>
      </c>
      <c r="W4" s="22">
        <f t="shared" ref="W4:W35" si="4">IF(OR(H4="",S4=""),"",(H4-S4)^2)</f>
        <v>0.12249999999999998</v>
      </c>
      <c r="X4" s="25">
        <f>IF(Q4="","",SUM($V$4:V4))</f>
        <v>1.1200000000000002E-2</v>
      </c>
      <c r="Y4" s="25">
        <f>IF(X4="","",X4-MAX($X$4:X4))</f>
        <v>0</v>
      </c>
      <c r="Z4" s="17" t="s">
        <v>83</v>
      </c>
      <c r="AB4" s="26" t="s">
        <v>84</v>
      </c>
    </row>
    <row r="5" spans="1:28" ht="38" customHeight="1">
      <c r="A5" s="27">
        <v>2</v>
      </c>
      <c r="B5" s="52">
        <v>46286</v>
      </c>
      <c r="C5" s="53" t="s">
        <v>116</v>
      </c>
      <c r="D5" s="27">
        <v>60113</v>
      </c>
      <c r="E5" s="54" t="s">
        <v>117</v>
      </c>
      <c r="F5" t="s">
        <v>118</v>
      </c>
      <c r="G5" s="27"/>
      <c r="H5" s="55">
        <v>0.7</v>
      </c>
      <c r="I5" t="s">
        <v>119</v>
      </c>
      <c r="J5" t="s">
        <v>120</v>
      </c>
      <c r="K5" t="s">
        <v>121</v>
      </c>
      <c r="L5" s="31">
        <v>0.93</v>
      </c>
      <c r="M5" s="56">
        <v>0.12569444444444444</v>
      </c>
      <c r="N5" s="29" t="s">
        <v>122</v>
      </c>
      <c r="O5" s="59" t="s">
        <v>125</v>
      </c>
      <c r="P5" s="28"/>
      <c r="Q5" s="31"/>
      <c r="R5" s="27"/>
      <c r="S5" s="33" t="str">
        <f t="shared" si="0"/>
        <v/>
      </c>
      <c r="T5" s="34" t="str">
        <f t="shared" si="1"/>
        <v/>
      </c>
      <c r="U5" s="34" t="str">
        <f t="shared" si="2"/>
        <v/>
      </c>
      <c r="V5" s="35" t="str">
        <f t="shared" si="3"/>
        <v/>
      </c>
      <c r="W5" s="33" t="str">
        <f t="shared" si="4"/>
        <v/>
      </c>
      <c r="X5" s="35" t="str">
        <f>IF(Q5="","",SUM($V$4:V5))</f>
        <v/>
      </c>
      <c r="Y5" s="35" t="str">
        <f>IF(X5="","",X5-MAX($X$4:X5))</f>
        <v/>
      </c>
      <c r="Z5" s="30"/>
    </row>
    <row r="6" spans="1:28" ht="15" customHeight="1">
      <c r="A6" s="27">
        <v>3</v>
      </c>
      <c r="B6" s="28"/>
      <c r="C6" s="29"/>
      <c r="D6" s="27"/>
      <c r="E6" s="30"/>
      <c r="F6" s="30"/>
      <c r="G6" s="27"/>
      <c r="H6" s="31"/>
      <c r="I6" s="30"/>
      <c r="J6" s="30"/>
      <c r="K6" s="30"/>
      <c r="L6" s="31"/>
      <c r="M6" s="32"/>
      <c r="N6" s="29"/>
      <c r="O6" s="27"/>
      <c r="P6" s="28"/>
      <c r="Q6" s="31"/>
      <c r="R6" s="27"/>
      <c r="S6" s="33" t="str">
        <f t="shared" si="0"/>
        <v/>
      </c>
      <c r="T6" s="34" t="str">
        <f t="shared" si="1"/>
        <v/>
      </c>
      <c r="U6" s="34" t="str">
        <f t="shared" si="2"/>
        <v/>
      </c>
      <c r="V6" s="35" t="str">
        <f t="shared" si="3"/>
        <v/>
      </c>
      <c r="W6" s="33" t="str">
        <f t="shared" si="4"/>
        <v/>
      </c>
      <c r="X6" s="35" t="str">
        <f>IF(Q6="","",SUM($V$4:V6))</f>
        <v/>
      </c>
      <c r="Y6" s="35" t="str">
        <f>IF(X6="","",X6-MAX($X$4:X6))</f>
        <v/>
      </c>
      <c r="Z6" s="30"/>
    </row>
    <row r="7" spans="1:28" ht="15" customHeight="1">
      <c r="A7" s="27">
        <v>4</v>
      </c>
      <c r="B7" s="28"/>
      <c r="C7" s="29"/>
      <c r="D7" s="27"/>
      <c r="E7" s="30"/>
      <c r="F7" s="30"/>
      <c r="G7" s="27"/>
      <c r="H7" s="31"/>
      <c r="I7" s="30"/>
      <c r="J7" s="30"/>
      <c r="K7" s="30"/>
      <c r="L7" s="31"/>
      <c r="M7" s="32"/>
      <c r="N7" s="29"/>
      <c r="O7" s="27"/>
      <c r="P7" s="28"/>
      <c r="Q7" s="31"/>
      <c r="R7" s="27"/>
      <c r="S7" s="33" t="str">
        <f t="shared" si="0"/>
        <v/>
      </c>
      <c r="T7" s="34" t="str">
        <f t="shared" si="1"/>
        <v/>
      </c>
      <c r="U7" s="34" t="str">
        <f t="shared" si="2"/>
        <v/>
      </c>
      <c r="V7" s="35" t="str">
        <f t="shared" si="3"/>
        <v/>
      </c>
      <c r="W7" s="33" t="str">
        <f t="shared" si="4"/>
        <v/>
      </c>
      <c r="X7" s="35" t="str">
        <f>IF(Q7="","",SUM($V$4:V7))</f>
        <v/>
      </c>
      <c r="Y7" s="35" t="str">
        <f>IF(X7="","",X7-MAX($X$4:X7))</f>
        <v/>
      </c>
      <c r="Z7" s="30"/>
    </row>
    <row r="8" spans="1:28" ht="15" customHeight="1">
      <c r="A8" s="27">
        <v>5</v>
      </c>
      <c r="B8" s="28"/>
      <c r="C8" s="29"/>
      <c r="D8" s="27"/>
      <c r="E8" s="30"/>
      <c r="F8" s="30"/>
      <c r="G8" s="27"/>
      <c r="H8" s="31"/>
      <c r="I8" s="30"/>
      <c r="J8" s="30"/>
      <c r="K8" s="30"/>
      <c r="L8" s="31"/>
      <c r="M8" s="32"/>
      <c r="N8" s="29"/>
      <c r="O8" s="27"/>
      <c r="P8" s="28"/>
      <c r="Q8" s="31"/>
      <c r="R8" s="27"/>
      <c r="S8" s="33" t="str">
        <f t="shared" si="0"/>
        <v/>
      </c>
      <c r="T8" s="34" t="str">
        <f t="shared" si="1"/>
        <v/>
      </c>
      <c r="U8" s="34" t="str">
        <f t="shared" si="2"/>
        <v/>
      </c>
      <c r="V8" s="35" t="str">
        <f t="shared" si="3"/>
        <v/>
      </c>
      <c r="W8" s="33" t="str">
        <f t="shared" si="4"/>
        <v/>
      </c>
      <c r="X8" s="35" t="str">
        <f>IF(Q8="","",SUM($V$4:V8))</f>
        <v/>
      </c>
      <c r="Y8" s="35" t="str">
        <f>IF(X8="","",X8-MAX($X$4:X8))</f>
        <v/>
      </c>
      <c r="Z8" s="30"/>
    </row>
    <row r="9" spans="1:28" ht="15" customHeight="1">
      <c r="A9" s="27">
        <v>6</v>
      </c>
      <c r="B9" s="28"/>
      <c r="C9" s="29"/>
      <c r="D9" s="27"/>
      <c r="E9" s="30"/>
      <c r="F9" s="30"/>
      <c r="G9" s="27"/>
      <c r="H9" s="31"/>
      <c r="I9" s="30"/>
      <c r="J9" s="30"/>
      <c r="K9" s="30"/>
      <c r="L9" s="31"/>
      <c r="M9" s="32"/>
      <c r="N9" s="29"/>
      <c r="O9" s="27"/>
      <c r="P9" s="28"/>
      <c r="Q9" s="31"/>
      <c r="R9" s="27"/>
      <c r="S9" s="33" t="str">
        <f t="shared" si="0"/>
        <v/>
      </c>
      <c r="T9" s="34" t="str">
        <f t="shared" si="1"/>
        <v/>
      </c>
      <c r="U9" s="34" t="str">
        <f t="shared" si="2"/>
        <v/>
      </c>
      <c r="V9" s="35" t="str">
        <f t="shared" si="3"/>
        <v/>
      </c>
      <c r="W9" s="33" t="str">
        <f t="shared" si="4"/>
        <v/>
      </c>
      <c r="X9" s="35" t="str">
        <f>IF(Q9="","",SUM($V$4:V9))</f>
        <v/>
      </c>
      <c r="Y9" s="35" t="str">
        <f>IF(X9="","",X9-MAX($X$4:X9))</f>
        <v/>
      </c>
      <c r="Z9" s="30"/>
    </row>
    <row r="10" spans="1:28" ht="15" customHeight="1">
      <c r="A10" s="27">
        <v>7</v>
      </c>
      <c r="B10" s="28"/>
      <c r="C10" s="29"/>
      <c r="D10" s="27"/>
      <c r="E10" s="30"/>
      <c r="F10" s="30"/>
      <c r="G10" s="27"/>
      <c r="H10" s="31"/>
      <c r="I10" s="30"/>
      <c r="J10" s="30"/>
      <c r="K10" s="30"/>
      <c r="L10" s="31"/>
      <c r="M10" s="32"/>
      <c r="N10" s="29"/>
      <c r="O10" s="27"/>
      <c r="P10" s="28"/>
      <c r="Q10" s="31"/>
      <c r="R10" s="27"/>
      <c r="S10" s="33" t="str">
        <f t="shared" si="0"/>
        <v/>
      </c>
      <c r="T10" s="34" t="str">
        <f t="shared" si="1"/>
        <v/>
      </c>
      <c r="U10" s="34" t="str">
        <f t="shared" si="2"/>
        <v/>
      </c>
      <c r="V10" s="35" t="str">
        <f t="shared" si="3"/>
        <v/>
      </c>
      <c r="W10" s="33" t="str">
        <f t="shared" si="4"/>
        <v/>
      </c>
      <c r="X10" s="35" t="str">
        <f>IF(Q10="","",SUM($V$4:V10))</f>
        <v/>
      </c>
      <c r="Y10" s="35" t="str">
        <f>IF(X10="","",X10-MAX($X$4:X10))</f>
        <v/>
      </c>
      <c r="Z10" s="30"/>
    </row>
    <row r="11" spans="1:28" ht="15" customHeight="1">
      <c r="A11" s="27">
        <v>8</v>
      </c>
      <c r="B11" s="28"/>
      <c r="C11" s="29"/>
      <c r="D11" s="27"/>
      <c r="E11" s="30"/>
      <c r="F11" s="30"/>
      <c r="G11" s="27"/>
      <c r="H11" s="31"/>
      <c r="I11" s="30"/>
      <c r="J11" s="30"/>
      <c r="K11" s="30"/>
      <c r="L11" s="31"/>
      <c r="M11" s="32"/>
      <c r="N11" s="29"/>
      <c r="O11" s="27"/>
      <c r="P11" s="28"/>
      <c r="Q11" s="31"/>
      <c r="R11" s="27"/>
      <c r="S11" s="33" t="str">
        <f t="shared" si="0"/>
        <v/>
      </c>
      <c r="T11" s="34" t="str">
        <f t="shared" si="1"/>
        <v/>
      </c>
      <c r="U11" s="34" t="str">
        <f t="shared" si="2"/>
        <v/>
      </c>
      <c r="V11" s="35" t="str">
        <f t="shared" si="3"/>
        <v/>
      </c>
      <c r="W11" s="33" t="str">
        <f t="shared" si="4"/>
        <v/>
      </c>
      <c r="X11" s="35" t="str">
        <f>IF(Q11="","",SUM($V$4:V11))</f>
        <v/>
      </c>
      <c r="Y11" s="35" t="str">
        <f>IF(X11="","",X11-MAX($X$4:X11))</f>
        <v/>
      </c>
      <c r="Z11" s="30"/>
    </row>
    <row r="12" spans="1:28" ht="15" customHeight="1">
      <c r="A12" s="27">
        <v>9</v>
      </c>
      <c r="B12" s="28"/>
      <c r="C12" s="29"/>
      <c r="D12" s="27"/>
      <c r="E12" s="30"/>
      <c r="F12" s="30"/>
      <c r="G12" s="27"/>
      <c r="H12" s="31"/>
      <c r="I12" s="30"/>
      <c r="J12" s="30"/>
      <c r="K12" s="30"/>
      <c r="L12" s="31"/>
      <c r="M12" s="32"/>
      <c r="N12" s="29"/>
      <c r="O12" s="27"/>
      <c r="P12" s="28"/>
      <c r="Q12" s="31"/>
      <c r="R12" s="27"/>
      <c r="S12" s="33" t="str">
        <f t="shared" si="0"/>
        <v/>
      </c>
      <c r="T12" s="34" t="str">
        <f t="shared" si="1"/>
        <v/>
      </c>
      <c r="U12" s="34" t="str">
        <f t="shared" si="2"/>
        <v/>
      </c>
      <c r="V12" s="35" t="str">
        <f t="shared" si="3"/>
        <v/>
      </c>
      <c r="W12" s="33" t="str">
        <f t="shared" si="4"/>
        <v/>
      </c>
      <c r="X12" s="35" t="str">
        <f>IF(Q12="","",SUM($V$4:V12))</f>
        <v/>
      </c>
      <c r="Y12" s="35" t="str">
        <f>IF(X12="","",X12-MAX($X$4:X12))</f>
        <v/>
      </c>
      <c r="Z12" s="30"/>
    </row>
    <row r="13" spans="1:28" ht="15" customHeight="1">
      <c r="A13" s="27">
        <v>10</v>
      </c>
      <c r="B13" s="28"/>
      <c r="C13" s="29"/>
      <c r="D13" s="27"/>
      <c r="E13" s="30"/>
      <c r="F13" s="30"/>
      <c r="G13" s="27"/>
      <c r="H13" s="31"/>
      <c r="I13" s="30"/>
      <c r="J13" s="30"/>
      <c r="K13" s="30"/>
      <c r="L13" s="31"/>
      <c r="M13" s="32"/>
      <c r="N13" s="29"/>
      <c r="O13" s="27"/>
      <c r="P13" s="28"/>
      <c r="Q13" s="31"/>
      <c r="R13" s="27"/>
      <c r="S13" s="33" t="str">
        <f t="shared" si="0"/>
        <v/>
      </c>
      <c r="T13" s="34" t="str">
        <f t="shared" si="1"/>
        <v/>
      </c>
      <c r="U13" s="34" t="str">
        <f t="shared" si="2"/>
        <v/>
      </c>
      <c r="V13" s="35" t="str">
        <f t="shared" si="3"/>
        <v/>
      </c>
      <c r="W13" s="33" t="str">
        <f t="shared" si="4"/>
        <v/>
      </c>
      <c r="X13" s="35" t="str">
        <f>IF(Q13="","",SUM($V$4:V13))</f>
        <v/>
      </c>
      <c r="Y13" s="35" t="str">
        <f>IF(X13="","",X13-MAX($X$4:X13))</f>
        <v/>
      </c>
      <c r="Z13" s="30"/>
    </row>
    <row r="14" spans="1:28" ht="15" customHeight="1">
      <c r="A14" s="27">
        <v>11</v>
      </c>
      <c r="B14" s="28"/>
      <c r="C14" s="29"/>
      <c r="D14" s="27"/>
      <c r="E14" s="30"/>
      <c r="F14" s="30"/>
      <c r="G14" s="27"/>
      <c r="H14" s="31"/>
      <c r="I14" s="30"/>
      <c r="J14" s="30"/>
      <c r="K14" s="30"/>
      <c r="L14" s="31"/>
      <c r="M14" s="32"/>
      <c r="N14" s="29"/>
      <c r="O14" s="27"/>
      <c r="P14" s="28"/>
      <c r="Q14" s="31"/>
      <c r="R14" s="27"/>
      <c r="S14" s="33" t="str">
        <f t="shared" si="0"/>
        <v/>
      </c>
      <c r="T14" s="34" t="str">
        <f t="shared" si="1"/>
        <v/>
      </c>
      <c r="U14" s="34" t="str">
        <f t="shared" si="2"/>
        <v/>
      </c>
      <c r="V14" s="35" t="str">
        <f t="shared" si="3"/>
        <v/>
      </c>
      <c r="W14" s="33" t="str">
        <f t="shared" si="4"/>
        <v/>
      </c>
      <c r="X14" s="35" t="str">
        <f>IF(Q14="","",SUM($V$4:V14))</f>
        <v/>
      </c>
      <c r="Y14" s="35" t="str">
        <f>IF(X14="","",X14-MAX($X$4:X14))</f>
        <v/>
      </c>
      <c r="Z14" s="30"/>
    </row>
    <row r="15" spans="1:28" ht="15" customHeight="1">
      <c r="A15" s="27">
        <v>12</v>
      </c>
      <c r="B15" s="28"/>
      <c r="C15" s="29"/>
      <c r="D15" s="27"/>
      <c r="E15" s="30"/>
      <c r="F15" s="30"/>
      <c r="G15" s="27"/>
      <c r="H15" s="31"/>
      <c r="I15" s="30"/>
      <c r="J15" s="30"/>
      <c r="K15" s="30"/>
      <c r="L15" s="31"/>
      <c r="M15" s="32"/>
      <c r="N15" s="29"/>
      <c r="O15" s="27"/>
      <c r="P15" s="28"/>
      <c r="Q15" s="31"/>
      <c r="R15" s="27"/>
      <c r="S15" s="33" t="str">
        <f t="shared" si="0"/>
        <v/>
      </c>
      <c r="T15" s="34" t="str">
        <f t="shared" si="1"/>
        <v/>
      </c>
      <c r="U15" s="34" t="str">
        <f t="shared" si="2"/>
        <v/>
      </c>
      <c r="V15" s="35" t="str">
        <f t="shared" si="3"/>
        <v/>
      </c>
      <c r="W15" s="33" t="str">
        <f t="shared" si="4"/>
        <v/>
      </c>
      <c r="X15" s="35" t="str">
        <f>IF(Q15="","",SUM($V$4:V15))</f>
        <v/>
      </c>
      <c r="Y15" s="35" t="str">
        <f>IF(X15="","",X15-MAX($X$4:X15))</f>
        <v/>
      </c>
      <c r="Z15" s="30"/>
    </row>
    <row r="16" spans="1:28" ht="15" customHeight="1">
      <c r="A16" s="27">
        <v>13</v>
      </c>
      <c r="B16" s="28"/>
      <c r="C16" s="29"/>
      <c r="D16" s="27"/>
      <c r="E16" s="30"/>
      <c r="F16" s="30"/>
      <c r="G16" s="27"/>
      <c r="H16" s="31"/>
      <c r="I16" s="30"/>
      <c r="J16" s="30"/>
      <c r="K16" s="30"/>
      <c r="L16" s="31"/>
      <c r="M16" s="32"/>
      <c r="N16" s="29"/>
      <c r="O16" s="27"/>
      <c r="P16" s="28"/>
      <c r="Q16" s="31"/>
      <c r="R16" s="27"/>
      <c r="S16" s="33" t="str">
        <f t="shared" si="0"/>
        <v/>
      </c>
      <c r="T16" s="34" t="str">
        <f t="shared" si="1"/>
        <v/>
      </c>
      <c r="U16" s="34" t="str">
        <f t="shared" si="2"/>
        <v/>
      </c>
      <c r="V16" s="35" t="str">
        <f t="shared" si="3"/>
        <v/>
      </c>
      <c r="W16" s="33" t="str">
        <f t="shared" si="4"/>
        <v/>
      </c>
      <c r="X16" s="35" t="str">
        <f>IF(Q16="","",SUM($V$4:V16))</f>
        <v/>
      </c>
      <c r="Y16" s="35" t="str">
        <f>IF(X16="","",X16-MAX($X$4:X16))</f>
        <v/>
      </c>
      <c r="Z16" s="30"/>
    </row>
    <row r="17" spans="1:26" ht="15" customHeight="1">
      <c r="A17" s="27">
        <v>14</v>
      </c>
      <c r="B17" s="28"/>
      <c r="C17" s="29"/>
      <c r="D17" s="27"/>
      <c r="E17" s="30"/>
      <c r="F17" s="30"/>
      <c r="G17" s="27"/>
      <c r="H17" s="31"/>
      <c r="I17" s="30"/>
      <c r="J17" s="30"/>
      <c r="K17" s="30"/>
      <c r="L17" s="31"/>
      <c r="M17" s="32"/>
      <c r="N17" s="29"/>
      <c r="O17" s="27"/>
      <c r="P17" s="28"/>
      <c r="Q17" s="31"/>
      <c r="R17" s="27"/>
      <c r="S17" s="33" t="str">
        <f t="shared" si="0"/>
        <v/>
      </c>
      <c r="T17" s="34" t="str">
        <f t="shared" si="1"/>
        <v/>
      </c>
      <c r="U17" s="34" t="str">
        <f t="shared" si="2"/>
        <v/>
      </c>
      <c r="V17" s="35" t="str">
        <f t="shared" si="3"/>
        <v/>
      </c>
      <c r="W17" s="33" t="str">
        <f t="shared" si="4"/>
        <v/>
      </c>
      <c r="X17" s="35" t="str">
        <f>IF(Q17="","",SUM($V$4:V17))</f>
        <v/>
      </c>
      <c r="Y17" s="35" t="str">
        <f>IF(X17="","",X17-MAX($X$4:X17))</f>
        <v/>
      </c>
      <c r="Z17" s="30"/>
    </row>
    <row r="18" spans="1:26" ht="15" customHeight="1">
      <c r="A18" s="27">
        <v>15</v>
      </c>
      <c r="B18" s="28"/>
      <c r="C18" s="29"/>
      <c r="D18" s="27"/>
      <c r="E18" s="30"/>
      <c r="F18" s="30"/>
      <c r="G18" s="27"/>
      <c r="H18" s="31"/>
      <c r="I18" s="30"/>
      <c r="J18" s="30"/>
      <c r="K18" s="30"/>
      <c r="L18" s="31"/>
      <c r="M18" s="32"/>
      <c r="N18" s="29"/>
      <c r="O18" s="27"/>
      <c r="P18" s="28"/>
      <c r="Q18" s="31"/>
      <c r="R18" s="27"/>
      <c r="S18" s="33" t="str">
        <f t="shared" si="0"/>
        <v/>
      </c>
      <c r="T18" s="34" t="str">
        <f t="shared" si="1"/>
        <v/>
      </c>
      <c r="U18" s="34" t="str">
        <f t="shared" si="2"/>
        <v/>
      </c>
      <c r="V18" s="35" t="str">
        <f t="shared" si="3"/>
        <v/>
      </c>
      <c r="W18" s="33" t="str">
        <f t="shared" si="4"/>
        <v/>
      </c>
      <c r="X18" s="35" t="str">
        <f>IF(Q18="","",SUM($V$4:V18))</f>
        <v/>
      </c>
      <c r="Y18" s="35" t="str">
        <f>IF(X18="","",X18-MAX($X$4:X18))</f>
        <v/>
      </c>
      <c r="Z18" s="30"/>
    </row>
    <row r="19" spans="1:26" ht="15" customHeight="1">
      <c r="A19" s="27">
        <v>16</v>
      </c>
      <c r="B19" s="28"/>
      <c r="C19" s="29"/>
      <c r="D19" s="27"/>
      <c r="E19" s="30"/>
      <c r="F19" s="30"/>
      <c r="G19" s="27"/>
      <c r="H19" s="31"/>
      <c r="I19" s="30"/>
      <c r="J19" s="30"/>
      <c r="K19" s="30"/>
      <c r="L19" s="31"/>
      <c r="M19" s="32"/>
      <c r="N19" s="29"/>
      <c r="O19" s="27"/>
      <c r="P19" s="28"/>
      <c r="Q19" s="31"/>
      <c r="R19" s="27"/>
      <c r="S19" s="33" t="str">
        <f t="shared" si="0"/>
        <v/>
      </c>
      <c r="T19" s="34" t="str">
        <f t="shared" si="1"/>
        <v/>
      </c>
      <c r="U19" s="34" t="str">
        <f t="shared" si="2"/>
        <v/>
      </c>
      <c r="V19" s="35" t="str">
        <f t="shared" si="3"/>
        <v/>
      </c>
      <c r="W19" s="33" t="str">
        <f t="shared" si="4"/>
        <v/>
      </c>
      <c r="X19" s="35" t="str">
        <f>IF(Q19="","",SUM($V$4:V19))</f>
        <v/>
      </c>
      <c r="Y19" s="35" t="str">
        <f>IF(X19="","",X19-MAX($X$4:X19))</f>
        <v/>
      </c>
      <c r="Z19" s="30"/>
    </row>
    <row r="20" spans="1:26" ht="15" customHeight="1">
      <c r="A20" s="27">
        <v>17</v>
      </c>
      <c r="B20" s="28"/>
      <c r="C20" s="29"/>
      <c r="D20" s="27"/>
      <c r="E20" s="30"/>
      <c r="F20" s="30"/>
      <c r="G20" s="27"/>
      <c r="H20" s="31"/>
      <c r="I20" s="30"/>
      <c r="J20" s="30"/>
      <c r="K20" s="30"/>
      <c r="L20" s="31"/>
      <c r="M20" s="32"/>
      <c r="N20" s="29"/>
      <c r="O20" s="27"/>
      <c r="P20" s="28"/>
      <c r="Q20" s="31"/>
      <c r="R20" s="27"/>
      <c r="S20" s="33" t="str">
        <f t="shared" si="0"/>
        <v/>
      </c>
      <c r="T20" s="34" t="str">
        <f t="shared" si="1"/>
        <v/>
      </c>
      <c r="U20" s="34" t="str">
        <f t="shared" si="2"/>
        <v/>
      </c>
      <c r="V20" s="35" t="str">
        <f t="shared" si="3"/>
        <v/>
      </c>
      <c r="W20" s="33" t="str">
        <f t="shared" si="4"/>
        <v/>
      </c>
      <c r="X20" s="35" t="str">
        <f>IF(Q20="","",SUM($V$4:V20))</f>
        <v/>
      </c>
      <c r="Y20" s="35" t="str">
        <f>IF(X20="","",X20-MAX($X$4:X20))</f>
        <v/>
      </c>
      <c r="Z20" s="30"/>
    </row>
    <row r="21" spans="1:26" ht="15" customHeight="1">
      <c r="A21" s="27">
        <v>18</v>
      </c>
      <c r="B21" s="28"/>
      <c r="C21" s="29"/>
      <c r="D21" s="27"/>
      <c r="E21" s="30"/>
      <c r="F21" s="30"/>
      <c r="G21" s="27"/>
      <c r="H21" s="31"/>
      <c r="I21" s="30"/>
      <c r="J21" s="30"/>
      <c r="K21" s="30"/>
      <c r="L21" s="31"/>
      <c r="M21" s="32"/>
      <c r="N21" s="29"/>
      <c r="O21" s="27"/>
      <c r="P21" s="28"/>
      <c r="Q21" s="31"/>
      <c r="R21" s="27"/>
      <c r="S21" s="33" t="str">
        <f t="shared" si="0"/>
        <v/>
      </c>
      <c r="T21" s="34" t="str">
        <f t="shared" si="1"/>
        <v/>
      </c>
      <c r="U21" s="34" t="str">
        <f t="shared" si="2"/>
        <v/>
      </c>
      <c r="V21" s="35" t="str">
        <f t="shared" si="3"/>
        <v/>
      </c>
      <c r="W21" s="33" t="str">
        <f t="shared" si="4"/>
        <v/>
      </c>
      <c r="X21" s="35" t="str">
        <f>IF(Q21="","",SUM($V$4:V21))</f>
        <v/>
      </c>
      <c r="Y21" s="35" t="str">
        <f>IF(X21="","",X21-MAX($X$4:X21))</f>
        <v/>
      </c>
      <c r="Z21" s="30"/>
    </row>
    <row r="22" spans="1:26" ht="15" customHeight="1">
      <c r="A22" s="27">
        <v>19</v>
      </c>
      <c r="B22" s="28"/>
      <c r="C22" s="29"/>
      <c r="D22" s="27"/>
      <c r="E22" s="30"/>
      <c r="F22" s="30"/>
      <c r="G22" s="27"/>
      <c r="H22" s="31"/>
      <c r="I22" s="30"/>
      <c r="J22" s="30"/>
      <c r="K22" s="30"/>
      <c r="L22" s="31"/>
      <c r="M22" s="32"/>
      <c r="N22" s="29"/>
      <c r="O22" s="27"/>
      <c r="P22" s="28"/>
      <c r="Q22" s="31"/>
      <c r="R22" s="27"/>
      <c r="S22" s="33" t="str">
        <f t="shared" si="0"/>
        <v/>
      </c>
      <c r="T22" s="34" t="str">
        <f t="shared" si="1"/>
        <v/>
      </c>
      <c r="U22" s="34" t="str">
        <f t="shared" si="2"/>
        <v/>
      </c>
      <c r="V22" s="35" t="str">
        <f t="shared" si="3"/>
        <v/>
      </c>
      <c r="W22" s="33" t="str">
        <f t="shared" si="4"/>
        <v/>
      </c>
      <c r="X22" s="35" t="str">
        <f>IF(Q22="","",SUM($V$4:V22))</f>
        <v/>
      </c>
      <c r="Y22" s="35" t="str">
        <f>IF(X22="","",X22-MAX($X$4:X22))</f>
        <v/>
      </c>
      <c r="Z22" s="30"/>
    </row>
    <row r="23" spans="1:26" ht="15" customHeight="1">
      <c r="A23" s="27">
        <v>20</v>
      </c>
      <c r="B23" s="28"/>
      <c r="C23" s="29"/>
      <c r="D23" s="27"/>
      <c r="E23" s="30"/>
      <c r="F23" s="30"/>
      <c r="G23" s="27"/>
      <c r="H23" s="31"/>
      <c r="I23" s="30"/>
      <c r="J23" s="30"/>
      <c r="K23" s="30"/>
      <c r="L23" s="31"/>
      <c r="M23" s="32"/>
      <c r="N23" s="29"/>
      <c r="O23" s="27"/>
      <c r="P23" s="28"/>
      <c r="Q23" s="31"/>
      <c r="R23" s="27"/>
      <c r="S23" s="33" t="str">
        <f t="shared" si="0"/>
        <v/>
      </c>
      <c r="T23" s="34" t="str">
        <f t="shared" si="1"/>
        <v/>
      </c>
      <c r="U23" s="34" t="str">
        <f t="shared" si="2"/>
        <v/>
      </c>
      <c r="V23" s="35" t="str">
        <f t="shared" si="3"/>
        <v/>
      </c>
      <c r="W23" s="33" t="str">
        <f t="shared" si="4"/>
        <v/>
      </c>
      <c r="X23" s="35" t="str">
        <f>IF(Q23="","",SUM($V$4:V23))</f>
        <v/>
      </c>
      <c r="Y23" s="35" t="str">
        <f>IF(X23="","",X23-MAX($X$4:X23))</f>
        <v/>
      </c>
      <c r="Z23" s="30"/>
    </row>
    <row r="24" spans="1:26" ht="15" customHeight="1">
      <c r="A24" s="27">
        <v>21</v>
      </c>
      <c r="B24" s="28"/>
      <c r="C24" s="29"/>
      <c r="D24" s="27"/>
      <c r="E24" s="30"/>
      <c r="F24" s="30"/>
      <c r="G24" s="27"/>
      <c r="H24" s="31"/>
      <c r="I24" s="30"/>
      <c r="J24" s="30"/>
      <c r="K24" s="30"/>
      <c r="L24" s="31"/>
      <c r="M24" s="32"/>
      <c r="N24" s="29"/>
      <c r="O24" s="27"/>
      <c r="P24" s="28"/>
      <c r="Q24" s="31"/>
      <c r="R24" s="27"/>
      <c r="S24" s="33" t="str">
        <f t="shared" si="0"/>
        <v/>
      </c>
      <c r="T24" s="34" t="str">
        <f t="shared" si="1"/>
        <v/>
      </c>
      <c r="U24" s="34" t="str">
        <f t="shared" si="2"/>
        <v/>
      </c>
      <c r="V24" s="35" t="str">
        <f t="shared" si="3"/>
        <v/>
      </c>
      <c r="W24" s="33" t="str">
        <f t="shared" si="4"/>
        <v/>
      </c>
      <c r="X24" s="35" t="str">
        <f>IF(Q24="","",SUM($V$4:V24))</f>
        <v/>
      </c>
      <c r="Y24" s="35" t="str">
        <f>IF(X24="","",X24-MAX($X$4:X24))</f>
        <v/>
      </c>
      <c r="Z24" s="30"/>
    </row>
    <row r="25" spans="1:26" ht="15" customHeight="1">
      <c r="A25" s="27">
        <v>22</v>
      </c>
      <c r="B25" s="28"/>
      <c r="C25" s="29"/>
      <c r="D25" s="27"/>
      <c r="E25" s="30"/>
      <c r="F25" s="30"/>
      <c r="G25" s="27"/>
      <c r="H25" s="31"/>
      <c r="I25" s="30"/>
      <c r="J25" s="30"/>
      <c r="K25" s="30"/>
      <c r="L25" s="31"/>
      <c r="M25" s="32"/>
      <c r="N25" s="29"/>
      <c r="O25" s="27"/>
      <c r="P25" s="28"/>
      <c r="Q25" s="31"/>
      <c r="R25" s="27"/>
      <c r="S25" s="33" t="str">
        <f t="shared" si="0"/>
        <v/>
      </c>
      <c r="T25" s="34" t="str">
        <f t="shared" si="1"/>
        <v/>
      </c>
      <c r="U25" s="34" t="str">
        <f t="shared" si="2"/>
        <v/>
      </c>
      <c r="V25" s="35" t="str">
        <f t="shared" si="3"/>
        <v/>
      </c>
      <c r="W25" s="33" t="str">
        <f t="shared" si="4"/>
        <v/>
      </c>
      <c r="X25" s="35" t="str">
        <f>IF(Q25="","",SUM($V$4:V25))</f>
        <v/>
      </c>
      <c r="Y25" s="35" t="str">
        <f>IF(X25="","",X25-MAX($X$4:X25))</f>
        <v/>
      </c>
      <c r="Z25" s="30"/>
    </row>
    <row r="26" spans="1:26" ht="15" customHeight="1">
      <c r="A26" s="27">
        <v>23</v>
      </c>
      <c r="B26" s="28"/>
      <c r="C26" s="29"/>
      <c r="D26" s="27"/>
      <c r="E26" s="30"/>
      <c r="F26" s="30"/>
      <c r="G26" s="27"/>
      <c r="H26" s="31"/>
      <c r="I26" s="30"/>
      <c r="J26" s="30"/>
      <c r="K26" s="30"/>
      <c r="L26" s="31"/>
      <c r="M26" s="32"/>
      <c r="N26" s="29"/>
      <c r="O26" s="27"/>
      <c r="P26" s="28"/>
      <c r="Q26" s="31"/>
      <c r="R26" s="27"/>
      <c r="S26" s="33" t="str">
        <f t="shared" si="0"/>
        <v/>
      </c>
      <c r="T26" s="34" t="str">
        <f t="shared" si="1"/>
        <v/>
      </c>
      <c r="U26" s="34" t="str">
        <f t="shared" si="2"/>
        <v/>
      </c>
      <c r="V26" s="35" t="str">
        <f t="shared" si="3"/>
        <v/>
      </c>
      <c r="W26" s="33" t="str">
        <f t="shared" si="4"/>
        <v/>
      </c>
      <c r="X26" s="35" t="str">
        <f>IF(Q26="","",SUM($V$4:V26))</f>
        <v/>
      </c>
      <c r="Y26" s="35" t="str">
        <f>IF(X26="","",X26-MAX($X$4:X26))</f>
        <v/>
      </c>
      <c r="Z26" s="30"/>
    </row>
    <row r="27" spans="1:26" ht="15" customHeight="1">
      <c r="A27" s="27">
        <v>24</v>
      </c>
      <c r="B27" s="28"/>
      <c r="C27" s="29"/>
      <c r="D27" s="27"/>
      <c r="E27" s="30"/>
      <c r="F27" s="30"/>
      <c r="G27" s="27"/>
      <c r="H27" s="31"/>
      <c r="I27" s="30"/>
      <c r="J27" s="30"/>
      <c r="K27" s="30"/>
      <c r="L27" s="31"/>
      <c r="M27" s="32"/>
      <c r="N27" s="29"/>
      <c r="O27" s="27"/>
      <c r="P27" s="28"/>
      <c r="Q27" s="31"/>
      <c r="R27" s="27"/>
      <c r="S27" s="33" t="str">
        <f t="shared" si="0"/>
        <v/>
      </c>
      <c r="T27" s="34" t="str">
        <f t="shared" si="1"/>
        <v/>
      </c>
      <c r="U27" s="34" t="str">
        <f t="shared" si="2"/>
        <v/>
      </c>
      <c r="V27" s="35" t="str">
        <f t="shared" si="3"/>
        <v/>
      </c>
      <c r="W27" s="33" t="str">
        <f t="shared" si="4"/>
        <v/>
      </c>
      <c r="X27" s="35" t="str">
        <f>IF(Q27="","",SUM($V$4:V27))</f>
        <v/>
      </c>
      <c r="Y27" s="35" t="str">
        <f>IF(X27="","",X27-MAX($X$4:X27))</f>
        <v/>
      </c>
      <c r="Z27" s="30"/>
    </row>
    <row r="28" spans="1:26" ht="15" customHeight="1">
      <c r="A28" s="27">
        <v>25</v>
      </c>
      <c r="B28" s="28"/>
      <c r="C28" s="29"/>
      <c r="D28" s="27"/>
      <c r="E28" s="30"/>
      <c r="F28" s="30"/>
      <c r="G28" s="27"/>
      <c r="H28" s="31"/>
      <c r="I28" s="30"/>
      <c r="J28" s="30"/>
      <c r="K28" s="30"/>
      <c r="L28" s="31"/>
      <c r="M28" s="32"/>
      <c r="N28" s="29"/>
      <c r="O28" s="27"/>
      <c r="P28" s="28"/>
      <c r="Q28" s="31"/>
      <c r="R28" s="27"/>
      <c r="S28" s="33" t="str">
        <f t="shared" si="0"/>
        <v/>
      </c>
      <c r="T28" s="34" t="str">
        <f t="shared" si="1"/>
        <v/>
      </c>
      <c r="U28" s="34" t="str">
        <f t="shared" si="2"/>
        <v/>
      </c>
      <c r="V28" s="35" t="str">
        <f t="shared" si="3"/>
        <v/>
      </c>
      <c r="W28" s="33" t="str">
        <f t="shared" si="4"/>
        <v/>
      </c>
      <c r="X28" s="35" t="str">
        <f>IF(Q28="","",SUM($V$4:V28))</f>
        <v/>
      </c>
      <c r="Y28" s="35" t="str">
        <f>IF(X28="","",X28-MAX($X$4:X28))</f>
        <v/>
      </c>
      <c r="Z28" s="30"/>
    </row>
    <row r="29" spans="1:26" ht="15" customHeight="1">
      <c r="A29" s="27">
        <v>26</v>
      </c>
      <c r="B29" s="28"/>
      <c r="C29" s="29"/>
      <c r="D29" s="27"/>
      <c r="E29" s="30"/>
      <c r="F29" s="30"/>
      <c r="G29" s="27"/>
      <c r="H29" s="31"/>
      <c r="I29" s="30"/>
      <c r="J29" s="30"/>
      <c r="K29" s="30"/>
      <c r="L29" s="31"/>
      <c r="M29" s="32"/>
      <c r="N29" s="29"/>
      <c r="O29" s="27"/>
      <c r="P29" s="28"/>
      <c r="Q29" s="31"/>
      <c r="R29" s="27"/>
      <c r="S29" s="33" t="str">
        <f t="shared" si="0"/>
        <v/>
      </c>
      <c r="T29" s="34" t="str">
        <f t="shared" si="1"/>
        <v/>
      </c>
      <c r="U29" s="34" t="str">
        <f t="shared" si="2"/>
        <v/>
      </c>
      <c r="V29" s="35" t="str">
        <f t="shared" si="3"/>
        <v/>
      </c>
      <c r="W29" s="33" t="str">
        <f t="shared" si="4"/>
        <v/>
      </c>
      <c r="X29" s="35" t="str">
        <f>IF(Q29="","",SUM($V$4:V29))</f>
        <v/>
      </c>
      <c r="Y29" s="35" t="str">
        <f>IF(X29="","",X29-MAX($X$4:X29))</f>
        <v/>
      </c>
      <c r="Z29" s="30"/>
    </row>
    <row r="30" spans="1:26" ht="15" customHeight="1">
      <c r="A30" s="27">
        <v>27</v>
      </c>
      <c r="B30" s="28"/>
      <c r="C30" s="29"/>
      <c r="D30" s="27"/>
      <c r="E30" s="30"/>
      <c r="F30" s="30"/>
      <c r="G30" s="27"/>
      <c r="H30" s="31"/>
      <c r="I30" s="30"/>
      <c r="J30" s="30"/>
      <c r="K30" s="30"/>
      <c r="L30" s="31"/>
      <c r="M30" s="32"/>
      <c r="N30" s="29"/>
      <c r="O30" s="27"/>
      <c r="P30" s="28"/>
      <c r="Q30" s="31"/>
      <c r="R30" s="27"/>
      <c r="S30" s="33" t="str">
        <f t="shared" si="0"/>
        <v/>
      </c>
      <c r="T30" s="34" t="str">
        <f t="shared" si="1"/>
        <v/>
      </c>
      <c r="U30" s="34" t="str">
        <f t="shared" si="2"/>
        <v/>
      </c>
      <c r="V30" s="35" t="str">
        <f t="shared" si="3"/>
        <v/>
      </c>
      <c r="W30" s="33" t="str">
        <f t="shared" si="4"/>
        <v/>
      </c>
      <c r="X30" s="35" t="str">
        <f>IF(Q30="","",SUM($V$4:V30))</f>
        <v/>
      </c>
      <c r="Y30" s="35" t="str">
        <f>IF(X30="","",X30-MAX($X$4:X30))</f>
        <v/>
      </c>
      <c r="Z30" s="30"/>
    </row>
    <row r="31" spans="1:26" ht="15" customHeight="1">
      <c r="A31" s="27">
        <v>28</v>
      </c>
      <c r="B31" s="28"/>
      <c r="C31" s="29"/>
      <c r="D31" s="27"/>
      <c r="E31" s="30"/>
      <c r="F31" s="30"/>
      <c r="G31" s="27"/>
      <c r="H31" s="31"/>
      <c r="I31" s="30"/>
      <c r="J31" s="30"/>
      <c r="K31" s="30"/>
      <c r="L31" s="31"/>
      <c r="M31" s="32"/>
      <c r="N31" s="29"/>
      <c r="O31" s="27"/>
      <c r="P31" s="28"/>
      <c r="Q31" s="31"/>
      <c r="R31" s="27"/>
      <c r="S31" s="33" t="str">
        <f t="shared" si="0"/>
        <v/>
      </c>
      <c r="T31" s="34" t="str">
        <f t="shared" si="1"/>
        <v/>
      </c>
      <c r="U31" s="34" t="str">
        <f t="shared" si="2"/>
        <v/>
      </c>
      <c r="V31" s="35" t="str">
        <f t="shared" si="3"/>
        <v/>
      </c>
      <c r="W31" s="33" t="str">
        <f t="shared" si="4"/>
        <v/>
      </c>
      <c r="X31" s="35" t="str">
        <f>IF(Q31="","",SUM($V$4:V31))</f>
        <v/>
      </c>
      <c r="Y31" s="35" t="str">
        <f>IF(X31="","",X31-MAX($X$4:X31))</f>
        <v/>
      </c>
      <c r="Z31" s="30"/>
    </row>
    <row r="32" spans="1:26" ht="15" customHeight="1">
      <c r="A32" s="27">
        <v>29</v>
      </c>
      <c r="B32" s="28"/>
      <c r="C32" s="29"/>
      <c r="D32" s="27"/>
      <c r="E32" s="30"/>
      <c r="F32" s="30"/>
      <c r="G32" s="27"/>
      <c r="H32" s="31"/>
      <c r="I32" s="30"/>
      <c r="J32" s="30"/>
      <c r="K32" s="30"/>
      <c r="L32" s="31"/>
      <c r="M32" s="32"/>
      <c r="N32" s="29"/>
      <c r="O32" s="27"/>
      <c r="P32" s="28"/>
      <c r="Q32" s="31"/>
      <c r="R32" s="27"/>
      <c r="S32" s="33" t="str">
        <f t="shared" si="0"/>
        <v/>
      </c>
      <c r="T32" s="34" t="str">
        <f t="shared" si="1"/>
        <v/>
      </c>
      <c r="U32" s="34" t="str">
        <f t="shared" si="2"/>
        <v/>
      </c>
      <c r="V32" s="35" t="str">
        <f t="shared" si="3"/>
        <v/>
      </c>
      <c r="W32" s="33" t="str">
        <f t="shared" si="4"/>
        <v/>
      </c>
      <c r="X32" s="35" t="str">
        <f>IF(Q32="","",SUM($V$4:V32))</f>
        <v/>
      </c>
      <c r="Y32" s="35" t="str">
        <f>IF(X32="","",X32-MAX($X$4:X32))</f>
        <v/>
      </c>
      <c r="Z32" s="30"/>
    </row>
    <row r="33" spans="1:26" ht="15" customHeight="1">
      <c r="A33" s="27">
        <v>30</v>
      </c>
      <c r="B33" s="28"/>
      <c r="C33" s="29"/>
      <c r="D33" s="27"/>
      <c r="E33" s="30"/>
      <c r="F33" s="30"/>
      <c r="G33" s="27"/>
      <c r="H33" s="31"/>
      <c r="I33" s="30"/>
      <c r="J33" s="30"/>
      <c r="K33" s="30"/>
      <c r="L33" s="31"/>
      <c r="M33" s="32"/>
      <c r="N33" s="29"/>
      <c r="O33" s="27"/>
      <c r="P33" s="28"/>
      <c r="Q33" s="31"/>
      <c r="R33" s="27"/>
      <c r="S33" s="33" t="str">
        <f t="shared" si="0"/>
        <v/>
      </c>
      <c r="T33" s="34" t="str">
        <f t="shared" si="1"/>
        <v/>
      </c>
      <c r="U33" s="34" t="str">
        <f t="shared" si="2"/>
        <v/>
      </c>
      <c r="V33" s="35" t="str">
        <f t="shared" si="3"/>
        <v/>
      </c>
      <c r="W33" s="33" t="str">
        <f t="shared" si="4"/>
        <v/>
      </c>
      <c r="X33" s="35" t="str">
        <f>IF(Q33="","",SUM($V$4:V33))</f>
        <v/>
      </c>
      <c r="Y33" s="35" t="str">
        <f>IF(X33="","",X33-MAX($X$4:X33))</f>
        <v/>
      </c>
      <c r="Z33" s="30"/>
    </row>
    <row r="34" spans="1:26" ht="15" customHeight="1">
      <c r="A34" s="27">
        <v>31</v>
      </c>
      <c r="B34" s="28"/>
      <c r="C34" s="29"/>
      <c r="D34" s="27"/>
      <c r="E34" s="30"/>
      <c r="F34" s="30"/>
      <c r="G34" s="27"/>
      <c r="H34" s="31"/>
      <c r="I34" s="30"/>
      <c r="J34" s="30"/>
      <c r="K34" s="30"/>
      <c r="L34" s="31"/>
      <c r="M34" s="32"/>
      <c r="N34" s="29"/>
      <c r="O34" s="27"/>
      <c r="P34" s="28"/>
      <c r="Q34" s="31"/>
      <c r="R34" s="27"/>
      <c r="S34" s="33" t="str">
        <f t="shared" si="0"/>
        <v/>
      </c>
      <c r="T34" s="34" t="str">
        <f t="shared" si="1"/>
        <v/>
      </c>
      <c r="U34" s="34" t="str">
        <f t="shared" si="2"/>
        <v/>
      </c>
      <c r="V34" s="35" t="str">
        <f t="shared" si="3"/>
        <v/>
      </c>
      <c r="W34" s="33" t="str">
        <f t="shared" si="4"/>
        <v/>
      </c>
      <c r="X34" s="35" t="str">
        <f>IF(Q34="","",SUM($V$4:V34))</f>
        <v/>
      </c>
      <c r="Y34" s="35" t="str">
        <f>IF(X34="","",X34-MAX($X$4:X34))</f>
        <v/>
      </c>
      <c r="Z34" s="30"/>
    </row>
    <row r="35" spans="1:26" ht="15" customHeight="1">
      <c r="A35" s="27">
        <v>32</v>
      </c>
      <c r="B35" s="28"/>
      <c r="C35" s="29"/>
      <c r="D35" s="27"/>
      <c r="E35" s="30"/>
      <c r="F35" s="30"/>
      <c r="G35" s="27"/>
      <c r="H35" s="31"/>
      <c r="I35" s="30"/>
      <c r="J35" s="30"/>
      <c r="K35" s="30"/>
      <c r="L35" s="31"/>
      <c r="M35" s="32"/>
      <c r="N35" s="29"/>
      <c r="O35" s="27"/>
      <c r="P35" s="28"/>
      <c r="Q35" s="31"/>
      <c r="R35" s="27"/>
      <c r="S35" s="33" t="str">
        <f t="shared" si="0"/>
        <v/>
      </c>
      <c r="T35" s="34" t="str">
        <f t="shared" si="1"/>
        <v/>
      </c>
      <c r="U35" s="34" t="str">
        <f t="shared" si="2"/>
        <v/>
      </c>
      <c r="V35" s="35" t="str">
        <f t="shared" si="3"/>
        <v/>
      </c>
      <c r="W35" s="33" t="str">
        <f t="shared" si="4"/>
        <v/>
      </c>
      <c r="X35" s="35" t="str">
        <f>IF(Q35="","",SUM($V$4:V35))</f>
        <v/>
      </c>
      <c r="Y35" s="35" t="str">
        <f>IF(X35="","",X35-MAX($X$4:X35))</f>
        <v/>
      </c>
      <c r="Z35" s="30"/>
    </row>
    <row r="36" spans="1:26" ht="15" customHeight="1">
      <c r="A36" s="27">
        <v>33</v>
      </c>
      <c r="B36" s="28"/>
      <c r="C36" s="29"/>
      <c r="D36" s="27"/>
      <c r="E36" s="30"/>
      <c r="F36" s="30"/>
      <c r="G36" s="27"/>
      <c r="H36" s="31"/>
      <c r="I36" s="30"/>
      <c r="J36" s="30"/>
      <c r="K36" s="30"/>
      <c r="L36" s="31"/>
      <c r="M36" s="32"/>
      <c r="N36" s="29"/>
      <c r="O36" s="27"/>
      <c r="P36" s="28"/>
      <c r="Q36" s="31"/>
      <c r="R36" s="27"/>
      <c r="S36" s="33" t="str">
        <f t="shared" ref="S36:S67" si="5">IF(R36="","",IF(R36="是",1,IF(R36="部分",0.5,0)))</f>
        <v/>
      </c>
      <c r="T36" s="34" t="str">
        <f t="shared" ref="T36:T67" si="6">IF(OR(Q36="",R36=""),"",IF(OR(R36="是",R36="部分"),IF(Q36&gt;0,"对且赚","对但亏"),IF(Q36&gt;0,"错但赚","错且亏")))</f>
        <v/>
      </c>
      <c r="U36" s="34" t="str">
        <f t="shared" ref="U36:U67" si="7">IF(OR(P36="",B36=""),"",P36-B36)</f>
        <v/>
      </c>
      <c r="V36" s="35" t="str">
        <f t="shared" ref="V36:V67" si="8">IF(OR(L36="",Q36=""),"",L36*Q36)</f>
        <v/>
      </c>
      <c r="W36" s="33" t="str">
        <f t="shared" ref="W36:W67" si="9">IF(OR(H36="",S36=""),"",(H36-S36)^2)</f>
        <v/>
      </c>
      <c r="X36" s="35" t="str">
        <f>IF(Q36="","",SUM($V$4:V36))</f>
        <v/>
      </c>
      <c r="Y36" s="35" t="str">
        <f>IF(X36="","",X36-MAX($X$4:X36))</f>
        <v/>
      </c>
      <c r="Z36" s="30"/>
    </row>
    <row r="37" spans="1:26" ht="15" customHeight="1">
      <c r="A37" s="27">
        <v>34</v>
      </c>
      <c r="B37" s="28"/>
      <c r="C37" s="29"/>
      <c r="D37" s="27"/>
      <c r="E37" s="30"/>
      <c r="F37" s="30"/>
      <c r="G37" s="27"/>
      <c r="H37" s="31"/>
      <c r="I37" s="30"/>
      <c r="J37" s="30"/>
      <c r="K37" s="30"/>
      <c r="L37" s="31"/>
      <c r="M37" s="32"/>
      <c r="N37" s="29"/>
      <c r="O37" s="27"/>
      <c r="P37" s="28"/>
      <c r="Q37" s="31"/>
      <c r="R37" s="27"/>
      <c r="S37" s="33" t="str">
        <f t="shared" si="5"/>
        <v/>
      </c>
      <c r="T37" s="34" t="str">
        <f t="shared" si="6"/>
        <v/>
      </c>
      <c r="U37" s="34" t="str">
        <f t="shared" si="7"/>
        <v/>
      </c>
      <c r="V37" s="35" t="str">
        <f t="shared" si="8"/>
        <v/>
      </c>
      <c r="W37" s="33" t="str">
        <f t="shared" si="9"/>
        <v/>
      </c>
      <c r="X37" s="35" t="str">
        <f>IF(Q37="","",SUM($V$4:V37))</f>
        <v/>
      </c>
      <c r="Y37" s="35" t="str">
        <f>IF(X37="","",X37-MAX($X$4:X37))</f>
        <v/>
      </c>
      <c r="Z37" s="30"/>
    </row>
    <row r="38" spans="1:26" ht="15" customHeight="1">
      <c r="A38" s="27">
        <v>35</v>
      </c>
      <c r="B38" s="28"/>
      <c r="C38" s="29"/>
      <c r="D38" s="27"/>
      <c r="E38" s="30"/>
      <c r="F38" s="30"/>
      <c r="G38" s="27"/>
      <c r="H38" s="31"/>
      <c r="I38" s="30"/>
      <c r="J38" s="30"/>
      <c r="K38" s="30"/>
      <c r="L38" s="31"/>
      <c r="M38" s="32"/>
      <c r="N38" s="29"/>
      <c r="O38" s="27"/>
      <c r="P38" s="28"/>
      <c r="Q38" s="31"/>
      <c r="R38" s="27"/>
      <c r="S38" s="33" t="str">
        <f t="shared" si="5"/>
        <v/>
      </c>
      <c r="T38" s="34" t="str">
        <f t="shared" si="6"/>
        <v/>
      </c>
      <c r="U38" s="34" t="str">
        <f t="shared" si="7"/>
        <v/>
      </c>
      <c r="V38" s="35" t="str">
        <f t="shared" si="8"/>
        <v/>
      </c>
      <c r="W38" s="33" t="str">
        <f t="shared" si="9"/>
        <v/>
      </c>
      <c r="X38" s="35" t="str">
        <f>IF(Q38="","",SUM($V$4:V38))</f>
        <v/>
      </c>
      <c r="Y38" s="35" t="str">
        <f>IF(X38="","",X38-MAX($X$4:X38))</f>
        <v/>
      </c>
      <c r="Z38" s="30"/>
    </row>
    <row r="39" spans="1:26" ht="15" customHeight="1">
      <c r="A39" s="27">
        <v>36</v>
      </c>
      <c r="B39" s="28"/>
      <c r="C39" s="29"/>
      <c r="D39" s="27"/>
      <c r="E39" s="30"/>
      <c r="F39" s="30"/>
      <c r="G39" s="27"/>
      <c r="H39" s="31"/>
      <c r="I39" s="30"/>
      <c r="J39" s="30"/>
      <c r="K39" s="30"/>
      <c r="L39" s="31"/>
      <c r="M39" s="32"/>
      <c r="N39" s="29"/>
      <c r="O39" s="27"/>
      <c r="P39" s="28"/>
      <c r="Q39" s="31"/>
      <c r="R39" s="27"/>
      <c r="S39" s="33" t="str">
        <f t="shared" si="5"/>
        <v/>
      </c>
      <c r="T39" s="34" t="str">
        <f t="shared" si="6"/>
        <v/>
      </c>
      <c r="U39" s="34" t="str">
        <f t="shared" si="7"/>
        <v/>
      </c>
      <c r="V39" s="35" t="str">
        <f t="shared" si="8"/>
        <v/>
      </c>
      <c r="W39" s="33" t="str">
        <f t="shared" si="9"/>
        <v/>
      </c>
      <c r="X39" s="35" t="str">
        <f>IF(Q39="","",SUM($V$4:V39))</f>
        <v/>
      </c>
      <c r="Y39" s="35" t="str">
        <f>IF(X39="","",X39-MAX($X$4:X39))</f>
        <v/>
      </c>
      <c r="Z39" s="30"/>
    </row>
    <row r="40" spans="1:26" ht="15" customHeight="1">
      <c r="A40" s="27">
        <v>37</v>
      </c>
      <c r="B40" s="28"/>
      <c r="C40" s="29"/>
      <c r="D40" s="27"/>
      <c r="E40" s="30"/>
      <c r="F40" s="30"/>
      <c r="G40" s="27"/>
      <c r="H40" s="31"/>
      <c r="I40" s="30"/>
      <c r="J40" s="30"/>
      <c r="K40" s="30"/>
      <c r="L40" s="31"/>
      <c r="M40" s="32"/>
      <c r="N40" s="29"/>
      <c r="O40" s="27"/>
      <c r="P40" s="28"/>
      <c r="Q40" s="31"/>
      <c r="R40" s="27"/>
      <c r="S40" s="33" t="str">
        <f t="shared" si="5"/>
        <v/>
      </c>
      <c r="T40" s="34" t="str">
        <f t="shared" si="6"/>
        <v/>
      </c>
      <c r="U40" s="34" t="str">
        <f t="shared" si="7"/>
        <v/>
      </c>
      <c r="V40" s="35" t="str">
        <f t="shared" si="8"/>
        <v/>
      </c>
      <c r="W40" s="33" t="str">
        <f t="shared" si="9"/>
        <v/>
      </c>
      <c r="X40" s="35" t="str">
        <f>IF(Q40="","",SUM($V$4:V40))</f>
        <v/>
      </c>
      <c r="Y40" s="35" t="str">
        <f>IF(X40="","",X40-MAX($X$4:X40))</f>
        <v/>
      </c>
      <c r="Z40" s="30"/>
    </row>
    <row r="41" spans="1:26" ht="15" customHeight="1">
      <c r="A41" s="27">
        <v>38</v>
      </c>
      <c r="B41" s="28"/>
      <c r="C41" s="29"/>
      <c r="D41" s="27"/>
      <c r="E41" s="30"/>
      <c r="F41" s="30"/>
      <c r="G41" s="27"/>
      <c r="H41" s="31"/>
      <c r="I41" s="30"/>
      <c r="J41" s="30"/>
      <c r="K41" s="30"/>
      <c r="L41" s="31"/>
      <c r="M41" s="32"/>
      <c r="N41" s="29"/>
      <c r="O41" s="27"/>
      <c r="P41" s="28"/>
      <c r="Q41" s="31"/>
      <c r="R41" s="27"/>
      <c r="S41" s="33" t="str">
        <f t="shared" si="5"/>
        <v/>
      </c>
      <c r="T41" s="34" t="str">
        <f t="shared" si="6"/>
        <v/>
      </c>
      <c r="U41" s="34" t="str">
        <f t="shared" si="7"/>
        <v/>
      </c>
      <c r="V41" s="35" t="str">
        <f t="shared" si="8"/>
        <v/>
      </c>
      <c r="W41" s="33" t="str">
        <f t="shared" si="9"/>
        <v/>
      </c>
      <c r="X41" s="35" t="str">
        <f>IF(Q41="","",SUM($V$4:V41))</f>
        <v/>
      </c>
      <c r="Y41" s="35" t="str">
        <f>IF(X41="","",X41-MAX($X$4:X41))</f>
        <v/>
      </c>
      <c r="Z41" s="30"/>
    </row>
    <row r="42" spans="1:26" ht="15" customHeight="1">
      <c r="A42" s="27">
        <v>39</v>
      </c>
      <c r="B42" s="28"/>
      <c r="C42" s="29"/>
      <c r="D42" s="27"/>
      <c r="E42" s="30"/>
      <c r="F42" s="30"/>
      <c r="G42" s="27"/>
      <c r="H42" s="31"/>
      <c r="I42" s="30"/>
      <c r="J42" s="30"/>
      <c r="K42" s="30"/>
      <c r="L42" s="31"/>
      <c r="M42" s="32"/>
      <c r="N42" s="29"/>
      <c r="O42" s="27"/>
      <c r="P42" s="28"/>
      <c r="Q42" s="31"/>
      <c r="R42" s="27"/>
      <c r="S42" s="33" t="str">
        <f t="shared" si="5"/>
        <v/>
      </c>
      <c r="T42" s="34" t="str">
        <f t="shared" si="6"/>
        <v/>
      </c>
      <c r="U42" s="34" t="str">
        <f t="shared" si="7"/>
        <v/>
      </c>
      <c r="V42" s="35" t="str">
        <f t="shared" si="8"/>
        <v/>
      </c>
      <c r="W42" s="33" t="str">
        <f t="shared" si="9"/>
        <v/>
      </c>
      <c r="X42" s="35" t="str">
        <f>IF(Q42="","",SUM($V$4:V42))</f>
        <v/>
      </c>
      <c r="Y42" s="35" t="str">
        <f>IF(X42="","",X42-MAX($X$4:X42))</f>
        <v/>
      </c>
      <c r="Z42" s="30"/>
    </row>
    <row r="43" spans="1:26" ht="15" customHeight="1">
      <c r="A43" s="27">
        <v>40</v>
      </c>
      <c r="B43" s="28"/>
      <c r="C43" s="29"/>
      <c r="D43" s="27"/>
      <c r="E43" s="30"/>
      <c r="F43" s="30"/>
      <c r="G43" s="27"/>
      <c r="H43" s="31"/>
      <c r="I43" s="30"/>
      <c r="J43" s="30"/>
      <c r="K43" s="30"/>
      <c r="L43" s="31"/>
      <c r="M43" s="32"/>
      <c r="N43" s="29"/>
      <c r="O43" s="27"/>
      <c r="P43" s="28"/>
      <c r="Q43" s="31"/>
      <c r="R43" s="27"/>
      <c r="S43" s="33" t="str">
        <f t="shared" si="5"/>
        <v/>
      </c>
      <c r="T43" s="34" t="str">
        <f t="shared" si="6"/>
        <v/>
      </c>
      <c r="U43" s="34" t="str">
        <f t="shared" si="7"/>
        <v/>
      </c>
      <c r="V43" s="35" t="str">
        <f t="shared" si="8"/>
        <v/>
      </c>
      <c r="W43" s="33" t="str">
        <f t="shared" si="9"/>
        <v/>
      </c>
      <c r="X43" s="35" t="str">
        <f>IF(Q43="","",SUM($V$4:V43))</f>
        <v/>
      </c>
      <c r="Y43" s="35" t="str">
        <f>IF(X43="","",X43-MAX($X$4:X43))</f>
        <v/>
      </c>
      <c r="Z43" s="30"/>
    </row>
    <row r="44" spans="1:26" ht="15" customHeight="1">
      <c r="A44" s="27">
        <v>41</v>
      </c>
      <c r="B44" s="28"/>
      <c r="C44" s="29"/>
      <c r="D44" s="27"/>
      <c r="E44" s="30"/>
      <c r="F44" s="30"/>
      <c r="G44" s="27"/>
      <c r="H44" s="31"/>
      <c r="I44" s="30"/>
      <c r="J44" s="30"/>
      <c r="K44" s="30"/>
      <c r="L44" s="31"/>
      <c r="M44" s="32"/>
      <c r="N44" s="29"/>
      <c r="O44" s="27"/>
      <c r="P44" s="28"/>
      <c r="Q44" s="31"/>
      <c r="R44" s="27"/>
      <c r="S44" s="33" t="str">
        <f t="shared" si="5"/>
        <v/>
      </c>
      <c r="T44" s="34" t="str">
        <f t="shared" si="6"/>
        <v/>
      </c>
      <c r="U44" s="34" t="str">
        <f t="shared" si="7"/>
        <v/>
      </c>
      <c r="V44" s="35" t="str">
        <f t="shared" si="8"/>
        <v/>
      </c>
      <c r="W44" s="33" t="str">
        <f t="shared" si="9"/>
        <v/>
      </c>
      <c r="X44" s="35" t="str">
        <f>IF(Q44="","",SUM($V$4:V44))</f>
        <v/>
      </c>
      <c r="Y44" s="35" t="str">
        <f>IF(X44="","",X44-MAX($X$4:X44))</f>
        <v/>
      </c>
      <c r="Z44" s="30"/>
    </row>
    <row r="45" spans="1:26" ht="15" customHeight="1">
      <c r="A45" s="27">
        <v>42</v>
      </c>
      <c r="B45" s="28"/>
      <c r="C45" s="29"/>
      <c r="D45" s="27"/>
      <c r="E45" s="30"/>
      <c r="F45" s="30"/>
      <c r="G45" s="27"/>
      <c r="H45" s="31"/>
      <c r="I45" s="30"/>
      <c r="J45" s="30"/>
      <c r="K45" s="30"/>
      <c r="L45" s="31"/>
      <c r="M45" s="32"/>
      <c r="N45" s="29"/>
      <c r="O45" s="27"/>
      <c r="P45" s="28"/>
      <c r="Q45" s="31"/>
      <c r="R45" s="27"/>
      <c r="S45" s="33" t="str">
        <f t="shared" si="5"/>
        <v/>
      </c>
      <c r="T45" s="34" t="str">
        <f t="shared" si="6"/>
        <v/>
      </c>
      <c r="U45" s="34" t="str">
        <f t="shared" si="7"/>
        <v/>
      </c>
      <c r="V45" s="35" t="str">
        <f t="shared" si="8"/>
        <v/>
      </c>
      <c r="W45" s="33" t="str">
        <f t="shared" si="9"/>
        <v/>
      </c>
      <c r="X45" s="35" t="str">
        <f>IF(Q45="","",SUM($V$4:V45))</f>
        <v/>
      </c>
      <c r="Y45" s="35" t="str">
        <f>IF(X45="","",X45-MAX($X$4:X45))</f>
        <v/>
      </c>
      <c r="Z45" s="30"/>
    </row>
    <row r="46" spans="1:26" ht="15" customHeight="1">
      <c r="A46" s="27">
        <v>43</v>
      </c>
      <c r="B46" s="28"/>
      <c r="C46" s="29"/>
      <c r="D46" s="27"/>
      <c r="E46" s="30"/>
      <c r="F46" s="30"/>
      <c r="G46" s="27"/>
      <c r="H46" s="31"/>
      <c r="I46" s="30"/>
      <c r="J46" s="30"/>
      <c r="K46" s="30"/>
      <c r="L46" s="31"/>
      <c r="M46" s="32"/>
      <c r="N46" s="29"/>
      <c r="O46" s="27"/>
      <c r="P46" s="28"/>
      <c r="Q46" s="31"/>
      <c r="R46" s="27"/>
      <c r="S46" s="33" t="str">
        <f t="shared" si="5"/>
        <v/>
      </c>
      <c r="T46" s="34" t="str">
        <f t="shared" si="6"/>
        <v/>
      </c>
      <c r="U46" s="34" t="str">
        <f t="shared" si="7"/>
        <v/>
      </c>
      <c r="V46" s="35" t="str">
        <f t="shared" si="8"/>
        <v/>
      </c>
      <c r="W46" s="33" t="str">
        <f t="shared" si="9"/>
        <v/>
      </c>
      <c r="X46" s="35" t="str">
        <f>IF(Q46="","",SUM($V$4:V46))</f>
        <v/>
      </c>
      <c r="Y46" s="35" t="str">
        <f>IF(X46="","",X46-MAX($X$4:X46))</f>
        <v/>
      </c>
      <c r="Z46" s="30"/>
    </row>
    <row r="47" spans="1:26" ht="15" customHeight="1">
      <c r="A47" s="27">
        <v>44</v>
      </c>
      <c r="B47" s="28"/>
      <c r="C47" s="29"/>
      <c r="D47" s="27"/>
      <c r="E47" s="30"/>
      <c r="F47" s="30"/>
      <c r="G47" s="27"/>
      <c r="H47" s="31"/>
      <c r="I47" s="30"/>
      <c r="J47" s="30"/>
      <c r="K47" s="30"/>
      <c r="L47" s="31"/>
      <c r="M47" s="32"/>
      <c r="N47" s="29"/>
      <c r="O47" s="27"/>
      <c r="P47" s="28"/>
      <c r="Q47" s="31"/>
      <c r="R47" s="27"/>
      <c r="S47" s="33" t="str">
        <f t="shared" si="5"/>
        <v/>
      </c>
      <c r="T47" s="34" t="str">
        <f t="shared" si="6"/>
        <v/>
      </c>
      <c r="U47" s="34" t="str">
        <f t="shared" si="7"/>
        <v/>
      </c>
      <c r="V47" s="35" t="str">
        <f t="shared" si="8"/>
        <v/>
      </c>
      <c r="W47" s="33" t="str">
        <f t="shared" si="9"/>
        <v/>
      </c>
      <c r="X47" s="35" t="str">
        <f>IF(Q47="","",SUM($V$4:V47))</f>
        <v/>
      </c>
      <c r="Y47" s="35" t="str">
        <f>IF(X47="","",X47-MAX($X$4:X47))</f>
        <v/>
      </c>
      <c r="Z47" s="30"/>
    </row>
    <row r="48" spans="1:26" ht="15" customHeight="1">
      <c r="A48" s="27">
        <v>45</v>
      </c>
      <c r="B48" s="28"/>
      <c r="C48" s="29"/>
      <c r="D48" s="27"/>
      <c r="E48" s="30"/>
      <c r="F48" s="30"/>
      <c r="G48" s="27"/>
      <c r="H48" s="31"/>
      <c r="I48" s="30"/>
      <c r="J48" s="30"/>
      <c r="K48" s="30"/>
      <c r="L48" s="31"/>
      <c r="M48" s="32"/>
      <c r="N48" s="29"/>
      <c r="O48" s="27"/>
      <c r="P48" s="28"/>
      <c r="Q48" s="31"/>
      <c r="R48" s="27"/>
      <c r="S48" s="33" t="str">
        <f t="shared" si="5"/>
        <v/>
      </c>
      <c r="T48" s="34" t="str">
        <f t="shared" si="6"/>
        <v/>
      </c>
      <c r="U48" s="34" t="str">
        <f t="shared" si="7"/>
        <v/>
      </c>
      <c r="V48" s="35" t="str">
        <f t="shared" si="8"/>
        <v/>
      </c>
      <c r="W48" s="33" t="str">
        <f t="shared" si="9"/>
        <v/>
      </c>
      <c r="X48" s="35" t="str">
        <f>IF(Q48="","",SUM($V$4:V48))</f>
        <v/>
      </c>
      <c r="Y48" s="35" t="str">
        <f>IF(X48="","",X48-MAX($X$4:X48))</f>
        <v/>
      </c>
      <c r="Z48" s="30"/>
    </row>
    <row r="49" spans="1:26" ht="15" customHeight="1">
      <c r="A49" s="27">
        <v>46</v>
      </c>
      <c r="B49" s="28"/>
      <c r="C49" s="29"/>
      <c r="D49" s="27"/>
      <c r="E49" s="30"/>
      <c r="F49" s="30"/>
      <c r="G49" s="27"/>
      <c r="H49" s="31"/>
      <c r="I49" s="30"/>
      <c r="J49" s="30"/>
      <c r="K49" s="30"/>
      <c r="L49" s="31"/>
      <c r="M49" s="32"/>
      <c r="N49" s="29"/>
      <c r="O49" s="27"/>
      <c r="P49" s="28"/>
      <c r="Q49" s="31"/>
      <c r="R49" s="27"/>
      <c r="S49" s="33" t="str">
        <f t="shared" si="5"/>
        <v/>
      </c>
      <c r="T49" s="34" t="str">
        <f t="shared" si="6"/>
        <v/>
      </c>
      <c r="U49" s="34" t="str">
        <f t="shared" si="7"/>
        <v/>
      </c>
      <c r="V49" s="35" t="str">
        <f t="shared" si="8"/>
        <v/>
      </c>
      <c r="W49" s="33" t="str">
        <f t="shared" si="9"/>
        <v/>
      </c>
      <c r="X49" s="35" t="str">
        <f>IF(Q49="","",SUM($V$4:V49))</f>
        <v/>
      </c>
      <c r="Y49" s="35" t="str">
        <f>IF(X49="","",X49-MAX($X$4:X49))</f>
        <v/>
      </c>
      <c r="Z49" s="30"/>
    </row>
    <row r="50" spans="1:26" ht="15" customHeight="1">
      <c r="A50" s="27">
        <v>47</v>
      </c>
      <c r="B50" s="28"/>
      <c r="C50" s="29"/>
      <c r="D50" s="27"/>
      <c r="E50" s="30"/>
      <c r="F50" s="30"/>
      <c r="G50" s="27"/>
      <c r="H50" s="31"/>
      <c r="I50" s="30"/>
      <c r="J50" s="30"/>
      <c r="K50" s="30"/>
      <c r="L50" s="31"/>
      <c r="M50" s="32"/>
      <c r="N50" s="29"/>
      <c r="O50" s="27"/>
      <c r="P50" s="28"/>
      <c r="Q50" s="31"/>
      <c r="R50" s="27"/>
      <c r="S50" s="33" t="str">
        <f t="shared" si="5"/>
        <v/>
      </c>
      <c r="T50" s="34" t="str">
        <f t="shared" si="6"/>
        <v/>
      </c>
      <c r="U50" s="34" t="str">
        <f t="shared" si="7"/>
        <v/>
      </c>
      <c r="V50" s="35" t="str">
        <f t="shared" si="8"/>
        <v/>
      </c>
      <c r="W50" s="33" t="str">
        <f t="shared" si="9"/>
        <v/>
      </c>
      <c r="X50" s="35" t="str">
        <f>IF(Q50="","",SUM($V$4:V50))</f>
        <v/>
      </c>
      <c r="Y50" s="35" t="str">
        <f>IF(X50="","",X50-MAX($X$4:X50))</f>
        <v/>
      </c>
      <c r="Z50" s="30"/>
    </row>
    <row r="51" spans="1:26" ht="15" customHeight="1">
      <c r="A51" s="27">
        <v>48</v>
      </c>
      <c r="B51" s="28"/>
      <c r="C51" s="29"/>
      <c r="D51" s="27"/>
      <c r="E51" s="30"/>
      <c r="F51" s="30"/>
      <c r="G51" s="27"/>
      <c r="H51" s="31"/>
      <c r="I51" s="30"/>
      <c r="J51" s="30"/>
      <c r="K51" s="30"/>
      <c r="L51" s="31"/>
      <c r="M51" s="32"/>
      <c r="N51" s="29"/>
      <c r="O51" s="27"/>
      <c r="P51" s="28"/>
      <c r="Q51" s="31"/>
      <c r="R51" s="27"/>
      <c r="S51" s="33" t="str">
        <f t="shared" si="5"/>
        <v/>
      </c>
      <c r="T51" s="34" t="str">
        <f t="shared" si="6"/>
        <v/>
      </c>
      <c r="U51" s="34" t="str">
        <f t="shared" si="7"/>
        <v/>
      </c>
      <c r="V51" s="35" t="str">
        <f t="shared" si="8"/>
        <v/>
      </c>
      <c r="W51" s="33" t="str">
        <f t="shared" si="9"/>
        <v/>
      </c>
      <c r="X51" s="35" t="str">
        <f>IF(Q51="","",SUM($V$4:V51))</f>
        <v/>
      </c>
      <c r="Y51" s="35" t="str">
        <f>IF(X51="","",X51-MAX($X$4:X51))</f>
        <v/>
      </c>
      <c r="Z51" s="30"/>
    </row>
    <row r="52" spans="1:26" ht="15" customHeight="1">
      <c r="A52" s="27">
        <v>49</v>
      </c>
      <c r="B52" s="28"/>
      <c r="C52" s="29"/>
      <c r="D52" s="27"/>
      <c r="E52" s="30"/>
      <c r="F52" s="30"/>
      <c r="G52" s="27"/>
      <c r="H52" s="31"/>
      <c r="I52" s="30"/>
      <c r="J52" s="30"/>
      <c r="K52" s="30"/>
      <c r="L52" s="31"/>
      <c r="M52" s="32"/>
      <c r="N52" s="29"/>
      <c r="O52" s="27"/>
      <c r="P52" s="28"/>
      <c r="Q52" s="31"/>
      <c r="R52" s="27"/>
      <c r="S52" s="33" t="str">
        <f t="shared" si="5"/>
        <v/>
      </c>
      <c r="T52" s="34" t="str">
        <f t="shared" si="6"/>
        <v/>
      </c>
      <c r="U52" s="34" t="str">
        <f t="shared" si="7"/>
        <v/>
      </c>
      <c r="V52" s="35" t="str">
        <f t="shared" si="8"/>
        <v/>
      </c>
      <c r="W52" s="33" t="str">
        <f t="shared" si="9"/>
        <v/>
      </c>
      <c r="X52" s="35" t="str">
        <f>IF(Q52="","",SUM($V$4:V52))</f>
        <v/>
      </c>
      <c r="Y52" s="35" t="str">
        <f>IF(X52="","",X52-MAX($X$4:X52))</f>
        <v/>
      </c>
      <c r="Z52" s="30"/>
    </row>
    <row r="53" spans="1:26" ht="15" customHeight="1">
      <c r="A53" s="27">
        <v>50</v>
      </c>
      <c r="B53" s="28"/>
      <c r="C53" s="29"/>
      <c r="D53" s="27"/>
      <c r="E53" s="30"/>
      <c r="F53" s="30"/>
      <c r="G53" s="27"/>
      <c r="H53" s="31"/>
      <c r="I53" s="30"/>
      <c r="J53" s="30"/>
      <c r="K53" s="30"/>
      <c r="L53" s="31"/>
      <c r="M53" s="32"/>
      <c r="N53" s="29"/>
      <c r="O53" s="27"/>
      <c r="P53" s="28"/>
      <c r="Q53" s="31"/>
      <c r="R53" s="27"/>
      <c r="S53" s="33" t="str">
        <f t="shared" si="5"/>
        <v/>
      </c>
      <c r="T53" s="34" t="str">
        <f t="shared" si="6"/>
        <v/>
      </c>
      <c r="U53" s="34" t="str">
        <f t="shared" si="7"/>
        <v/>
      </c>
      <c r="V53" s="35" t="str">
        <f t="shared" si="8"/>
        <v/>
      </c>
      <c r="W53" s="33" t="str">
        <f t="shared" si="9"/>
        <v/>
      </c>
      <c r="X53" s="35" t="str">
        <f>IF(Q53="","",SUM($V$4:V53))</f>
        <v/>
      </c>
      <c r="Y53" s="35" t="str">
        <f>IF(X53="","",X53-MAX($X$4:X53))</f>
        <v/>
      </c>
      <c r="Z53" s="30"/>
    </row>
    <row r="54" spans="1:26" ht="15" customHeight="1">
      <c r="A54" s="27">
        <v>51</v>
      </c>
      <c r="B54" s="28"/>
      <c r="C54" s="29"/>
      <c r="D54" s="27"/>
      <c r="E54" s="30"/>
      <c r="F54" s="30"/>
      <c r="G54" s="27"/>
      <c r="H54" s="31"/>
      <c r="I54" s="30"/>
      <c r="J54" s="30"/>
      <c r="K54" s="30"/>
      <c r="L54" s="31"/>
      <c r="M54" s="32"/>
      <c r="N54" s="29"/>
      <c r="O54" s="27"/>
      <c r="P54" s="28"/>
      <c r="Q54" s="31"/>
      <c r="R54" s="27"/>
      <c r="S54" s="33" t="str">
        <f t="shared" si="5"/>
        <v/>
      </c>
      <c r="T54" s="34" t="str">
        <f t="shared" si="6"/>
        <v/>
      </c>
      <c r="U54" s="34" t="str">
        <f t="shared" si="7"/>
        <v/>
      </c>
      <c r="V54" s="35" t="str">
        <f t="shared" si="8"/>
        <v/>
      </c>
      <c r="W54" s="33" t="str">
        <f t="shared" si="9"/>
        <v/>
      </c>
      <c r="X54" s="35" t="str">
        <f>IF(Q54="","",SUM($V$4:V54))</f>
        <v/>
      </c>
      <c r="Y54" s="35" t="str">
        <f>IF(X54="","",X54-MAX($X$4:X54))</f>
        <v/>
      </c>
      <c r="Z54" s="30"/>
    </row>
    <row r="55" spans="1:26" ht="15" customHeight="1">
      <c r="A55" s="27">
        <v>52</v>
      </c>
      <c r="B55" s="28"/>
      <c r="C55" s="29"/>
      <c r="D55" s="27"/>
      <c r="E55" s="30"/>
      <c r="F55" s="30"/>
      <c r="G55" s="27"/>
      <c r="H55" s="31"/>
      <c r="I55" s="30"/>
      <c r="J55" s="30"/>
      <c r="K55" s="30"/>
      <c r="L55" s="31"/>
      <c r="M55" s="32"/>
      <c r="N55" s="29"/>
      <c r="O55" s="27"/>
      <c r="P55" s="28"/>
      <c r="Q55" s="31"/>
      <c r="R55" s="27"/>
      <c r="S55" s="33" t="str">
        <f t="shared" si="5"/>
        <v/>
      </c>
      <c r="T55" s="34" t="str">
        <f t="shared" si="6"/>
        <v/>
      </c>
      <c r="U55" s="34" t="str">
        <f t="shared" si="7"/>
        <v/>
      </c>
      <c r="V55" s="35" t="str">
        <f t="shared" si="8"/>
        <v/>
      </c>
      <c r="W55" s="33" t="str">
        <f t="shared" si="9"/>
        <v/>
      </c>
      <c r="X55" s="35" t="str">
        <f>IF(Q55="","",SUM($V$4:V55))</f>
        <v/>
      </c>
      <c r="Y55" s="35" t="str">
        <f>IF(X55="","",X55-MAX($X$4:X55))</f>
        <v/>
      </c>
      <c r="Z55" s="30"/>
    </row>
    <row r="56" spans="1:26" ht="15" customHeight="1">
      <c r="A56" s="27">
        <v>53</v>
      </c>
      <c r="B56" s="28"/>
      <c r="C56" s="29"/>
      <c r="D56" s="27"/>
      <c r="E56" s="30"/>
      <c r="F56" s="30"/>
      <c r="G56" s="27"/>
      <c r="H56" s="31"/>
      <c r="I56" s="30"/>
      <c r="J56" s="30"/>
      <c r="K56" s="30"/>
      <c r="L56" s="31"/>
      <c r="M56" s="32"/>
      <c r="N56" s="29"/>
      <c r="O56" s="27"/>
      <c r="P56" s="28"/>
      <c r="Q56" s="31"/>
      <c r="R56" s="27"/>
      <c r="S56" s="33" t="str">
        <f t="shared" si="5"/>
        <v/>
      </c>
      <c r="T56" s="34" t="str">
        <f t="shared" si="6"/>
        <v/>
      </c>
      <c r="U56" s="34" t="str">
        <f t="shared" si="7"/>
        <v/>
      </c>
      <c r="V56" s="35" t="str">
        <f t="shared" si="8"/>
        <v/>
      </c>
      <c r="W56" s="33" t="str">
        <f t="shared" si="9"/>
        <v/>
      </c>
      <c r="X56" s="35" t="str">
        <f>IF(Q56="","",SUM($V$4:V56))</f>
        <v/>
      </c>
      <c r="Y56" s="35" t="str">
        <f>IF(X56="","",X56-MAX($X$4:X56))</f>
        <v/>
      </c>
      <c r="Z56" s="30"/>
    </row>
    <row r="57" spans="1:26" ht="15" customHeight="1">
      <c r="A57" s="27">
        <v>54</v>
      </c>
      <c r="B57" s="28"/>
      <c r="C57" s="29"/>
      <c r="D57" s="27"/>
      <c r="E57" s="30"/>
      <c r="F57" s="30"/>
      <c r="G57" s="27"/>
      <c r="H57" s="31"/>
      <c r="I57" s="30"/>
      <c r="J57" s="30"/>
      <c r="K57" s="30"/>
      <c r="L57" s="31"/>
      <c r="M57" s="32"/>
      <c r="N57" s="29"/>
      <c r="O57" s="27"/>
      <c r="P57" s="28"/>
      <c r="Q57" s="31"/>
      <c r="R57" s="27"/>
      <c r="S57" s="33" t="str">
        <f t="shared" si="5"/>
        <v/>
      </c>
      <c r="T57" s="34" t="str">
        <f t="shared" si="6"/>
        <v/>
      </c>
      <c r="U57" s="34" t="str">
        <f t="shared" si="7"/>
        <v/>
      </c>
      <c r="V57" s="35" t="str">
        <f t="shared" si="8"/>
        <v/>
      </c>
      <c r="W57" s="33" t="str">
        <f t="shared" si="9"/>
        <v/>
      </c>
      <c r="X57" s="35" t="str">
        <f>IF(Q57="","",SUM($V$4:V57))</f>
        <v/>
      </c>
      <c r="Y57" s="35" t="str">
        <f>IF(X57="","",X57-MAX($X$4:X57))</f>
        <v/>
      </c>
      <c r="Z57" s="30"/>
    </row>
    <row r="58" spans="1:26" ht="15" customHeight="1">
      <c r="A58" s="27">
        <v>55</v>
      </c>
      <c r="B58" s="28"/>
      <c r="C58" s="29"/>
      <c r="D58" s="27"/>
      <c r="E58" s="30"/>
      <c r="F58" s="30"/>
      <c r="G58" s="27"/>
      <c r="H58" s="31"/>
      <c r="I58" s="30"/>
      <c r="J58" s="30"/>
      <c r="K58" s="30"/>
      <c r="L58" s="31"/>
      <c r="M58" s="32"/>
      <c r="N58" s="29"/>
      <c r="O58" s="27"/>
      <c r="P58" s="28"/>
      <c r="Q58" s="31"/>
      <c r="R58" s="27"/>
      <c r="S58" s="33" t="str">
        <f t="shared" si="5"/>
        <v/>
      </c>
      <c r="T58" s="34" t="str">
        <f t="shared" si="6"/>
        <v/>
      </c>
      <c r="U58" s="34" t="str">
        <f t="shared" si="7"/>
        <v/>
      </c>
      <c r="V58" s="35" t="str">
        <f t="shared" si="8"/>
        <v/>
      </c>
      <c r="W58" s="33" t="str">
        <f t="shared" si="9"/>
        <v/>
      </c>
      <c r="X58" s="35" t="str">
        <f>IF(Q58="","",SUM($V$4:V58))</f>
        <v/>
      </c>
      <c r="Y58" s="35" t="str">
        <f>IF(X58="","",X58-MAX($X$4:X58))</f>
        <v/>
      </c>
      <c r="Z58" s="30"/>
    </row>
    <row r="59" spans="1:26" ht="15" customHeight="1">
      <c r="A59" s="27">
        <v>56</v>
      </c>
      <c r="B59" s="28"/>
      <c r="C59" s="29"/>
      <c r="D59" s="27"/>
      <c r="E59" s="30"/>
      <c r="F59" s="30"/>
      <c r="G59" s="27"/>
      <c r="H59" s="31"/>
      <c r="I59" s="30"/>
      <c r="J59" s="30"/>
      <c r="K59" s="30"/>
      <c r="L59" s="31"/>
      <c r="M59" s="32"/>
      <c r="N59" s="29"/>
      <c r="O59" s="27"/>
      <c r="P59" s="28"/>
      <c r="Q59" s="31"/>
      <c r="R59" s="27"/>
      <c r="S59" s="33" t="str">
        <f t="shared" si="5"/>
        <v/>
      </c>
      <c r="T59" s="34" t="str">
        <f t="shared" si="6"/>
        <v/>
      </c>
      <c r="U59" s="34" t="str">
        <f t="shared" si="7"/>
        <v/>
      </c>
      <c r="V59" s="35" t="str">
        <f t="shared" si="8"/>
        <v/>
      </c>
      <c r="W59" s="33" t="str">
        <f t="shared" si="9"/>
        <v/>
      </c>
      <c r="X59" s="35" t="str">
        <f>IF(Q59="","",SUM($V$4:V59))</f>
        <v/>
      </c>
      <c r="Y59" s="35" t="str">
        <f>IF(X59="","",X59-MAX($X$4:X59))</f>
        <v/>
      </c>
      <c r="Z59" s="30"/>
    </row>
    <row r="60" spans="1:26" ht="15" customHeight="1">
      <c r="A60" s="27">
        <v>57</v>
      </c>
      <c r="B60" s="28"/>
      <c r="C60" s="29"/>
      <c r="D60" s="27"/>
      <c r="E60" s="30"/>
      <c r="F60" s="30"/>
      <c r="G60" s="27"/>
      <c r="H60" s="31"/>
      <c r="I60" s="30"/>
      <c r="J60" s="30"/>
      <c r="K60" s="30"/>
      <c r="L60" s="31"/>
      <c r="M60" s="32"/>
      <c r="N60" s="29"/>
      <c r="O60" s="27"/>
      <c r="P60" s="28"/>
      <c r="Q60" s="31"/>
      <c r="R60" s="27"/>
      <c r="S60" s="33" t="str">
        <f t="shared" si="5"/>
        <v/>
      </c>
      <c r="T60" s="34" t="str">
        <f t="shared" si="6"/>
        <v/>
      </c>
      <c r="U60" s="34" t="str">
        <f t="shared" si="7"/>
        <v/>
      </c>
      <c r="V60" s="35" t="str">
        <f t="shared" si="8"/>
        <v/>
      </c>
      <c r="W60" s="33" t="str">
        <f t="shared" si="9"/>
        <v/>
      </c>
      <c r="X60" s="35" t="str">
        <f>IF(Q60="","",SUM($V$4:V60))</f>
        <v/>
      </c>
      <c r="Y60" s="35" t="str">
        <f>IF(X60="","",X60-MAX($X$4:X60))</f>
        <v/>
      </c>
      <c r="Z60" s="30"/>
    </row>
    <row r="61" spans="1:26" ht="15" customHeight="1">
      <c r="A61" s="27">
        <v>58</v>
      </c>
      <c r="B61" s="28"/>
      <c r="C61" s="29"/>
      <c r="D61" s="27"/>
      <c r="E61" s="30"/>
      <c r="F61" s="30"/>
      <c r="G61" s="27"/>
      <c r="H61" s="31"/>
      <c r="I61" s="30"/>
      <c r="J61" s="30"/>
      <c r="K61" s="30"/>
      <c r="L61" s="31"/>
      <c r="M61" s="32"/>
      <c r="N61" s="29"/>
      <c r="O61" s="27"/>
      <c r="P61" s="28"/>
      <c r="Q61" s="31"/>
      <c r="R61" s="27"/>
      <c r="S61" s="33" t="str">
        <f t="shared" si="5"/>
        <v/>
      </c>
      <c r="T61" s="34" t="str">
        <f t="shared" si="6"/>
        <v/>
      </c>
      <c r="U61" s="34" t="str">
        <f t="shared" si="7"/>
        <v/>
      </c>
      <c r="V61" s="35" t="str">
        <f t="shared" si="8"/>
        <v/>
      </c>
      <c r="W61" s="33" t="str">
        <f t="shared" si="9"/>
        <v/>
      </c>
      <c r="X61" s="35" t="str">
        <f>IF(Q61="","",SUM($V$4:V61))</f>
        <v/>
      </c>
      <c r="Y61" s="35" t="str">
        <f>IF(X61="","",X61-MAX($X$4:X61))</f>
        <v/>
      </c>
      <c r="Z61" s="30"/>
    </row>
    <row r="62" spans="1:26" ht="15" customHeight="1">
      <c r="A62" s="27">
        <v>59</v>
      </c>
      <c r="B62" s="28"/>
      <c r="C62" s="29"/>
      <c r="D62" s="27"/>
      <c r="E62" s="30"/>
      <c r="F62" s="30"/>
      <c r="G62" s="27"/>
      <c r="H62" s="31"/>
      <c r="I62" s="30"/>
      <c r="J62" s="30"/>
      <c r="K62" s="30"/>
      <c r="L62" s="31"/>
      <c r="M62" s="32"/>
      <c r="N62" s="29"/>
      <c r="O62" s="27"/>
      <c r="P62" s="28"/>
      <c r="Q62" s="31"/>
      <c r="R62" s="27"/>
      <c r="S62" s="33" t="str">
        <f t="shared" si="5"/>
        <v/>
      </c>
      <c r="T62" s="34" t="str">
        <f t="shared" si="6"/>
        <v/>
      </c>
      <c r="U62" s="34" t="str">
        <f t="shared" si="7"/>
        <v/>
      </c>
      <c r="V62" s="35" t="str">
        <f t="shared" si="8"/>
        <v/>
      </c>
      <c r="W62" s="33" t="str">
        <f t="shared" si="9"/>
        <v/>
      </c>
      <c r="X62" s="35" t="str">
        <f>IF(Q62="","",SUM($V$4:V62))</f>
        <v/>
      </c>
      <c r="Y62" s="35" t="str">
        <f>IF(X62="","",X62-MAX($X$4:X62))</f>
        <v/>
      </c>
      <c r="Z62" s="30"/>
    </row>
    <row r="63" spans="1:26" ht="15" customHeight="1">
      <c r="A63" s="27">
        <v>60</v>
      </c>
      <c r="B63" s="28"/>
      <c r="C63" s="29"/>
      <c r="D63" s="27"/>
      <c r="E63" s="30"/>
      <c r="F63" s="30"/>
      <c r="G63" s="27"/>
      <c r="H63" s="31"/>
      <c r="I63" s="30"/>
      <c r="J63" s="30"/>
      <c r="K63" s="30"/>
      <c r="L63" s="31"/>
      <c r="M63" s="32"/>
      <c r="N63" s="29"/>
      <c r="O63" s="27"/>
      <c r="P63" s="28"/>
      <c r="Q63" s="31"/>
      <c r="R63" s="27"/>
      <c r="S63" s="33" t="str">
        <f t="shared" si="5"/>
        <v/>
      </c>
      <c r="T63" s="34" t="str">
        <f t="shared" si="6"/>
        <v/>
      </c>
      <c r="U63" s="34" t="str">
        <f t="shared" si="7"/>
        <v/>
      </c>
      <c r="V63" s="35" t="str">
        <f t="shared" si="8"/>
        <v/>
      </c>
      <c r="W63" s="33" t="str">
        <f t="shared" si="9"/>
        <v/>
      </c>
      <c r="X63" s="35" t="str">
        <f>IF(Q63="","",SUM($V$4:V63))</f>
        <v/>
      </c>
      <c r="Y63" s="35" t="str">
        <f>IF(X63="","",X63-MAX($X$4:X63))</f>
        <v/>
      </c>
      <c r="Z63" s="30"/>
    </row>
    <row r="64" spans="1:26" ht="15" customHeight="1">
      <c r="A64" s="27">
        <v>61</v>
      </c>
      <c r="B64" s="28"/>
      <c r="C64" s="29"/>
      <c r="D64" s="27"/>
      <c r="E64" s="30"/>
      <c r="F64" s="30"/>
      <c r="G64" s="27"/>
      <c r="H64" s="31"/>
      <c r="I64" s="30"/>
      <c r="J64" s="30"/>
      <c r="K64" s="30"/>
      <c r="L64" s="31"/>
      <c r="M64" s="32"/>
      <c r="N64" s="29"/>
      <c r="O64" s="27"/>
      <c r="P64" s="28"/>
      <c r="Q64" s="31"/>
      <c r="R64" s="27"/>
      <c r="S64" s="33" t="str">
        <f t="shared" si="5"/>
        <v/>
      </c>
      <c r="T64" s="34" t="str">
        <f t="shared" si="6"/>
        <v/>
      </c>
      <c r="U64" s="34" t="str">
        <f t="shared" si="7"/>
        <v/>
      </c>
      <c r="V64" s="35" t="str">
        <f t="shared" si="8"/>
        <v/>
      </c>
      <c r="W64" s="33" t="str">
        <f t="shared" si="9"/>
        <v/>
      </c>
      <c r="X64" s="35" t="str">
        <f>IF(Q64="","",SUM($V$4:V64))</f>
        <v/>
      </c>
      <c r="Y64" s="35" t="str">
        <f>IF(X64="","",X64-MAX($X$4:X64))</f>
        <v/>
      </c>
      <c r="Z64" s="30"/>
    </row>
    <row r="65" spans="1:26" ht="15" customHeight="1">
      <c r="A65" s="27">
        <v>62</v>
      </c>
      <c r="B65" s="28"/>
      <c r="C65" s="29"/>
      <c r="D65" s="27"/>
      <c r="E65" s="30"/>
      <c r="F65" s="30"/>
      <c r="G65" s="27"/>
      <c r="H65" s="31"/>
      <c r="I65" s="30"/>
      <c r="J65" s="30"/>
      <c r="K65" s="30"/>
      <c r="L65" s="31"/>
      <c r="M65" s="32"/>
      <c r="N65" s="29"/>
      <c r="O65" s="27"/>
      <c r="P65" s="28"/>
      <c r="Q65" s="31"/>
      <c r="R65" s="27"/>
      <c r="S65" s="33" t="str">
        <f t="shared" si="5"/>
        <v/>
      </c>
      <c r="T65" s="34" t="str">
        <f t="shared" si="6"/>
        <v/>
      </c>
      <c r="U65" s="34" t="str">
        <f t="shared" si="7"/>
        <v/>
      </c>
      <c r="V65" s="35" t="str">
        <f t="shared" si="8"/>
        <v/>
      </c>
      <c r="W65" s="33" t="str">
        <f t="shared" si="9"/>
        <v/>
      </c>
      <c r="X65" s="35" t="str">
        <f>IF(Q65="","",SUM($V$4:V65))</f>
        <v/>
      </c>
      <c r="Y65" s="35" t="str">
        <f>IF(X65="","",X65-MAX($X$4:X65))</f>
        <v/>
      </c>
      <c r="Z65" s="30"/>
    </row>
    <row r="66" spans="1:26" ht="15" customHeight="1">
      <c r="A66" s="27">
        <v>63</v>
      </c>
      <c r="B66" s="28"/>
      <c r="C66" s="29"/>
      <c r="D66" s="27"/>
      <c r="E66" s="30"/>
      <c r="F66" s="30"/>
      <c r="G66" s="27"/>
      <c r="H66" s="31"/>
      <c r="I66" s="30"/>
      <c r="J66" s="30"/>
      <c r="K66" s="30"/>
      <c r="L66" s="31"/>
      <c r="M66" s="32"/>
      <c r="N66" s="29"/>
      <c r="O66" s="27"/>
      <c r="P66" s="28"/>
      <c r="Q66" s="31"/>
      <c r="R66" s="27"/>
      <c r="S66" s="33" t="str">
        <f t="shared" si="5"/>
        <v/>
      </c>
      <c r="T66" s="34" t="str">
        <f t="shared" si="6"/>
        <v/>
      </c>
      <c r="U66" s="34" t="str">
        <f t="shared" si="7"/>
        <v/>
      </c>
      <c r="V66" s="35" t="str">
        <f t="shared" si="8"/>
        <v/>
      </c>
      <c r="W66" s="33" t="str">
        <f t="shared" si="9"/>
        <v/>
      </c>
      <c r="X66" s="35" t="str">
        <f>IF(Q66="","",SUM($V$4:V66))</f>
        <v/>
      </c>
      <c r="Y66" s="35" t="str">
        <f>IF(X66="","",X66-MAX($X$4:X66))</f>
        <v/>
      </c>
      <c r="Z66" s="30"/>
    </row>
    <row r="67" spans="1:26" ht="15" customHeight="1">
      <c r="A67" s="27">
        <v>64</v>
      </c>
      <c r="B67" s="28"/>
      <c r="C67" s="29"/>
      <c r="D67" s="27"/>
      <c r="E67" s="30"/>
      <c r="F67" s="30"/>
      <c r="G67" s="27"/>
      <c r="H67" s="31"/>
      <c r="I67" s="30"/>
      <c r="J67" s="30"/>
      <c r="K67" s="30"/>
      <c r="L67" s="31"/>
      <c r="M67" s="32"/>
      <c r="N67" s="29"/>
      <c r="O67" s="27"/>
      <c r="P67" s="28"/>
      <c r="Q67" s="31"/>
      <c r="R67" s="27"/>
      <c r="S67" s="33" t="str">
        <f t="shared" si="5"/>
        <v/>
      </c>
      <c r="T67" s="34" t="str">
        <f t="shared" si="6"/>
        <v/>
      </c>
      <c r="U67" s="34" t="str">
        <f t="shared" si="7"/>
        <v/>
      </c>
      <c r="V67" s="35" t="str">
        <f t="shared" si="8"/>
        <v/>
      </c>
      <c r="W67" s="33" t="str">
        <f t="shared" si="9"/>
        <v/>
      </c>
      <c r="X67" s="35" t="str">
        <f>IF(Q67="","",SUM($V$4:V67))</f>
        <v/>
      </c>
      <c r="Y67" s="35" t="str">
        <f>IF(X67="","",X67-MAX($X$4:X67))</f>
        <v/>
      </c>
      <c r="Z67" s="30"/>
    </row>
    <row r="68" spans="1:26" ht="15" customHeight="1">
      <c r="A68" s="27">
        <v>65</v>
      </c>
      <c r="B68" s="28"/>
      <c r="C68" s="29"/>
      <c r="D68" s="27"/>
      <c r="E68" s="30"/>
      <c r="F68" s="30"/>
      <c r="G68" s="27"/>
      <c r="H68" s="31"/>
      <c r="I68" s="30"/>
      <c r="J68" s="30"/>
      <c r="K68" s="30"/>
      <c r="L68" s="31"/>
      <c r="M68" s="32"/>
      <c r="N68" s="29"/>
      <c r="O68" s="27"/>
      <c r="P68" s="28"/>
      <c r="Q68" s="31"/>
      <c r="R68" s="27"/>
      <c r="S68" s="33" t="str">
        <f t="shared" ref="S68:S99" si="10">IF(R68="","",IF(R68="是",1,IF(R68="部分",0.5,0)))</f>
        <v/>
      </c>
      <c r="T68" s="34" t="str">
        <f t="shared" ref="T68:T99" si="11">IF(OR(Q68="",R68=""),"",IF(OR(R68="是",R68="部分"),IF(Q68&gt;0,"对且赚","对但亏"),IF(Q68&gt;0,"错但赚","错且亏")))</f>
        <v/>
      </c>
      <c r="U68" s="34" t="str">
        <f t="shared" ref="U68:U99" si="12">IF(OR(P68="",B68=""),"",P68-B68)</f>
        <v/>
      </c>
      <c r="V68" s="35" t="str">
        <f t="shared" ref="V68:V99" si="13">IF(OR(L68="",Q68=""),"",L68*Q68)</f>
        <v/>
      </c>
      <c r="W68" s="33" t="str">
        <f t="shared" ref="W68:W99" si="14">IF(OR(H68="",S68=""),"",(H68-S68)^2)</f>
        <v/>
      </c>
      <c r="X68" s="35" t="str">
        <f>IF(Q68="","",SUM($V$4:V68))</f>
        <v/>
      </c>
      <c r="Y68" s="35" t="str">
        <f>IF(X68="","",X68-MAX($X$4:X68))</f>
        <v/>
      </c>
      <c r="Z68" s="30"/>
    </row>
    <row r="69" spans="1:26" ht="15" customHeight="1">
      <c r="A69" s="27">
        <v>66</v>
      </c>
      <c r="B69" s="28"/>
      <c r="C69" s="29"/>
      <c r="D69" s="27"/>
      <c r="E69" s="30"/>
      <c r="F69" s="30"/>
      <c r="G69" s="27"/>
      <c r="H69" s="31"/>
      <c r="I69" s="30"/>
      <c r="J69" s="30"/>
      <c r="K69" s="30"/>
      <c r="L69" s="31"/>
      <c r="M69" s="32"/>
      <c r="N69" s="29"/>
      <c r="O69" s="27"/>
      <c r="P69" s="28"/>
      <c r="Q69" s="31"/>
      <c r="R69" s="27"/>
      <c r="S69" s="33" t="str">
        <f t="shared" si="10"/>
        <v/>
      </c>
      <c r="T69" s="34" t="str">
        <f t="shared" si="11"/>
        <v/>
      </c>
      <c r="U69" s="34" t="str">
        <f t="shared" si="12"/>
        <v/>
      </c>
      <c r="V69" s="35" t="str">
        <f t="shared" si="13"/>
        <v/>
      </c>
      <c r="W69" s="33" t="str">
        <f t="shared" si="14"/>
        <v/>
      </c>
      <c r="X69" s="35" t="str">
        <f>IF(Q69="","",SUM($V$4:V69))</f>
        <v/>
      </c>
      <c r="Y69" s="35" t="str">
        <f>IF(X69="","",X69-MAX($X$4:X69))</f>
        <v/>
      </c>
      <c r="Z69" s="30"/>
    </row>
    <row r="70" spans="1:26" ht="15" customHeight="1">
      <c r="A70" s="27">
        <v>67</v>
      </c>
      <c r="B70" s="28"/>
      <c r="C70" s="29"/>
      <c r="D70" s="27"/>
      <c r="E70" s="30"/>
      <c r="F70" s="30"/>
      <c r="G70" s="27"/>
      <c r="H70" s="31"/>
      <c r="I70" s="30"/>
      <c r="J70" s="30"/>
      <c r="K70" s="30"/>
      <c r="L70" s="31"/>
      <c r="M70" s="32"/>
      <c r="N70" s="29"/>
      <c r="O70" s="27"/>
      <c r="P70" s="28"/>
      <c r="Q70" s="31"/>
      <c r="R70" s="27"/>
      <c r="S70" s="33" t="str">
        <f t="shared" si="10"/>
        <v/>
      </c>
      <c r="T70" s="34" t="str">
        <f t="shared" si="11"/>
        <v/>
      </c>
      <c r="U70" s="34" t="str">
        <f t="shared" si="12"/>
        <v/>
      </c>
      <c r="V70" s="35" t="str">
        <f t="shared" si="13"/>
        <v/>
      </c>
      <c r="W70" s="33" t="str">
        <f t="shared" si="14"/>
        <v/>
      </c>
      <c r="X70" s="35" t="str">
        <f>IF(Q70="","",SUM($V$4:V70))</f>
        <v/>
      </c>
      <c r="Y70" s="35" t="str">
        <f>IF(X70="","",X70-MAX($X$4:X70))</f>
        <v/>
      </c>
      <c r="Z70" s="30"/>
    </row>
    <row r="71" spans="1:26" ht="15" customHeight="1">
      <c r="A71" s="27">
        <v>68</v>
      </c>
      <c r="B71" s="28"/>
      <c r="C71" s="29"/>
      <c r="D71" s="27"/>
      <c r="E71" s="30"/>
      <c r="F71" s="30"/>
      <c r="G71" s="27"/>
      <c r="H71" s="31"/>
      <c r="I71" s="30"/>
      <c r="J71" s="30"/>
      <c r="K71" s="30"/>
      <c r="L71" s="31"/>
      <c r="M71" s="32"/>
      <c r="N71" s="29"/>
      <c r="O71" s="27"/>
      <c r="P71" s="28"/>
      <c r="Q71" s="31"/>
      <c r="R71" s="27"/>
      <c r="S71" s="33" t="str">
        <f t="shared" si="10"/>
        <v/>
      </c>
      <c r="T71" s="34" t="str">
        <f t="shared" si="11"/>
        <v/>
      </c>
      <c r="U71" s="34" t="str">
        <f t="shared" si="12"/>
        <v/>
      </c>
      <c r="V71" s="35" t="str">
        <f t="shared" si="13"/>
        <v/>
      </c>
      <c r="W71" s="33" t="str">
        <f t="shared" si="14"/>
        <v/>
      </c>
      <c r="X71" s="35" t="str">
        <f>IF(Q71="","",SUM($V$4:V71))</f>
        <v/>
      </c>
      <c r="Y71" s="35" t="str">
        <f>IF(X71="","",X71-MAX($X$4:X71))</f>
        <v/>
      </c>
      <c r="Z71" s="30"/>
    </row>
    <row r="72" spans="1:26" ht="15" customHeight="1">
      <c r="A72" s="27">
        <v>69</v>
      </c>
      <c r="B72" s="28"/>
      <c r="C72" s="29"/>
      <c r="D72" s="27"/>
      <c r="E72" s="30"/>
      <c r="F72" s="30"/>
      <c r="G72" s="27"/>
      <c r="H72" s="31"/>
      <c r="I72" s="30"/>
      <c r="J72" s="30"/>
      <c r="K72" s="30"/>
      <c r="L72" s="31"/>
      <c r="M72" s="32"/>
      <c r="N72" s="29"/>
      <c r="O72" s="27"/>
      <c r="P72" s="28"/>
      <c r="Q72" s="31"/>
      <c r="R72" s="27"/>
      <c r="S72" s="33" t="str">
        <f t="shared" si="10"/>
        <v/>
      </c>
      <c r="T72" s="34" t="str">
        <f t="shared" si="11"/>
        <v/>
      </c>
      <c r="U72" s="34" t="str">
        <f t="shared" si="12"/>
        <v/>
      </c>
      <c r="V72" s="35" t="str">
        <f t="shared" si="13"/>
        <v/>
      </c>
      <c r="W72" s="33" t="str">
        <f t="shared" si="14"/>
        <v/>
      </c>
      <c r="X72" s="35" t="str">
        <f>IF(Q72="","",SUM($V$4:V72))</f>
        <v/>
      </c>
      <c r="Y72" s="35" t="str">
        <f>IF(X72="","",X72-MAX($X$4:X72))</f>
        <v/>
      </c>
      <c r="Z72" s="30"/>
    </row>
    <row r="73" spans="1:26" ht="15" customHeight="1">
      <c r="A73" s="27">
        <v>70</v>
      </c>
      <c r="B73" s="28"/>
      <c r="C73" s="29"/>
      <c r="D73" s="27"/>
      <c r="E73" s="30"/>
      <c r="F73" s="30"/>
      <c r="G73" s="27"/>
      <c r="H73" s="31"/>
      <c r="I73" s="30"/>
      <c r="J73" s="30"/>
      <c r="K73" s="30"/>
      <c r="L73" s="31"/>
      <c r="M73" s="32"/>
      <c r="N73" s="29"/>
      <c r="O73" s="27"/>
      <c r="P73" s="28"/>
      <c r="Q73" s="31"/>
      <c r="R73" s="27"/>
      <c r="S73" s="33" t="str">
        <f t="shared" si="10"/>
        <v/>
      </c>
      <c r="T73" s="34" t="str">
        <f t="shared" si="11"/>
        <v/>
      </c>
      <c r="U73" s="34" t="str">
        <f t="shared" si="12"/>
        <v/>
      </c>
      <c r="V73" s="35" t="str">
        <f t="shared" si="13"/>
        <v/>
      </c>
      <c r="W73" s="33" t="str">
        <f t="shared" si="14"/>
        <v/>
      </c>
      <c r="X73" s="35" t="str">
        <f>IF(Q73="","",SUM($V$4:V73))</f>
        <v/>
      </c>
      <c r="Y73" s="35" t="str">
        <f>IF(X73="","",X73-MAX($X$4:X73))</f>
        <v/>
      </c>
      <c r="Z73" s="30"/>
    </row>
    <row r="74" spans="1:26" ht="15" customHeight="1">
      <c r="A74" s="27">
        <v>71</v>
      </c>
      <c r="B74" s="28"/>
      <c r="C74" s="29"/>
      <c r="D74" s="27"/>
      <c r="E74" s="30"/>
      <c r="F74" s="30"/>
      <c r="G74" s="27"/>
      <c r="H74" s="31"/>
      <c r="I74" s="30"/>
      <c r="J74" s="30"/>
      <c r="K74" s="30"/>
      <c r="L74" s="31"/>
      <c r="M74" s="32"/>
      <c r="N74" s="29"/>
      <c r="O74" s="27"/>
      <c r="P74" s="28"/>
      <c r="Q74" s="31"/>
      <c r="R74" s="27"/>
      <c r="S74" s="33" t="str">
        <f t="shared" si="10"/>
        <v/>
      </c>
      <c r="T74" s="34" t="str">
        <f t="shared" si="11"/>
        <v/>
      </c>
      <c r="U74" s="34" t="str">
        <f t="shared" si="12"/>
        <v/>
      </c>
      <c r="V74" s="35" t="str">
        <f t="shared" si="13"/>
        <v/>
      </c>
      <c r="W74" s="33" t="str">
        <f t="shared" si="14"/>
        <v/>
      </c>
      <c r="X74" s="35" t="str">
        <f>IF(Q74="","",SUM($V$4:V74))</f>
        <v/>
      </c>
      <c r="Y74" s="35" t="str">
        <f>IF(X74="","",X74-MAX($X$4:X74))</f>
        <v/>
      </c>
      <c r="Z74" s="30"/>
    </row>
    <row r="75" spans="1:26" ht="15" customHeight="1">
      <c r="A75" s="27">
        <v>72</v>
      </c>
      <c r="B75" s="28"/>
      <c r="C75" s="29"/>
      <c r="D75" s="27"/>
      <c r="E75" s="30"/>
      <c r="F75" s="30"/>
      <c r="G75" s="27"/>
      <c r="H75" s="31"/>
      <c r="I75" s="30"/>
      <c r="J75" s="30"/>
      <c r="K75" s="30"/>
      <c r="L75" s="31"/>
      <c r="M75" s="32"/>
      <c r="N75" s="29"/>
      <c r="O75" s="27"/>
      <c r="P75" s="28"/>
      <c r="Q75" s="31"/>
      <c r="R75" s="27"/>
      <c r="S75" s="33" t="str">
        <f t="shared" si="10"/>
        <v/>
      </c>
      <c r="T75" s="34" t="str">
        <f t="shared" si="11"/>
        <v/>
      </c>
      <c r="U75" s="34" t="str">
        <f t="shared" si="12"/>
        <v/>
      </c>
      <c r="V75" s="35" t="str">
        <f t="shared" si="13"/>
        <v/>
      </c>
      <c r="W75" s="33" t="str">
        <f t="shared" si="14"/>
        <v/>
      </c>
      <c r="X75" s="35" t="str">
        <f>IF(Q75="","",SUM($V$4:V75))</f>
        <v/>
      </c>
      <c r="Y75" s="35" t="str">
        <f>IF(X75="","",X75-MAX($X$4:X75))</f>
        <v/>
      </c>
      <c r="Z75" s="30"/>
    </row>
    <row r="76" spans="1:26" ht="15" customHeight="1">
      <c r="A76" s="27">
        <v>73</v>
      </c>
      <c r="B76" s="28"/>
      <c r="C76" s="29"/>
      <c r="D76" s="27"/>
      <c r="E76" s="30"/>
      <c r="F76" s="30"/>
      <c r="G76" s="27"/>
      <c r="H76" s="31"/>
      <c r="I76" s="30"/>
      <c r="J76" s="30"/>
      <c r="K76" s="30"/>
      <c r="L76" s="31"/>
      <c r="M76" s="32"/>
      <c r="N76" s="29"/>
      <c r="O76" s="27"/>
      <c r="P76" s="28"/>
      <c r="Q76" s="31"/>
      <c r="R76" s="27"/>
      <c r="S76" s="33" t="str">
        <f t="shared" si="10"/>
        <v/>
      </c>
      <c r="T76" s="34" t="str">
        <f t="shared" si="11"/>
        <v/>
      </c>
      <c r="U76" s="34" t="str">
        <f t="shared" si="12"/>
        <v/>
      </c>
      <c r="V76" s="35" t="str">
        <f t="shared" si="13"/>
        <v/>
      </c>
      <c r="W76" s="33" t="str">
        <f t="shared" si="14"/>
        <v/>
      </c>
      <c r="X76" s="35" t="str">
        <f>IF(Q76="","",SUM($V$4:V76))</f>
        <v/>
      </c>
      <c r="Y76" s="35" t="str">
        <f>IF(X76="","",X76-MAX($X$4:X76))</f>
        <v/>
      </c>
      <c r="Z76" s="30"/>
    </row>
    <row r="77" spans="1:26" ht="15" customHeight="1">
      <c r="A77" s="27">
        <v>74</v>
      </c>
      <c r="B77" s="28"/>
      <c r="C77" s="29"/>
      <c r="D77" s="27"/>
      <c r="E77" s="30"/>
      <c r="F77" s="30"/>
      <c r="G77" s="27"/>
      <c r="H77" s="31"/>
      <c r="I77" s="30"/>
      <c r="J77" s="30"/>
      <c r="K77" s="30"/>
      <c r="L77" s="31"/>
      <c r="M77" s="32"/>
      <c r="N77" s="29"/>
      <c r="O77" s="27"/>
      <c r="P77" s="28"/>
      <c r="Q77" s="31"/>
      <c r="R77" s="27"/>
      <c r="S77" s="33" t="str">
        <f t="shared" si="10"/>
        <v/>
      </c>
      <c r="T77" s="34" t="str">
        <f t="shared" si="11"/>
        <v/>
      </c>
      <c r="U77" s="34" t="str">
        <f t="shared" si="12"/>
        <v/>
      </c>
      <c r="V77" s="35" t="str">
        <f t="shared" si="13"/>
        <v/>
      </c>
      <c r="W77" s="33" t="str">
        <f t="shared" si="14"/>
        <v/>
      </c>
      <c r="X77" s="35" t="str">
        <f>IF(Q77="","",SUM($V$4:V77))</f>
        <v/>
      </c>
      <c r="Y77" s="35" t="str">
        <f>IF(X77="","",X77-MAX($X$4:X77))</f>
        <v/>
      </c>
      <c r="Z77" s="30"/>
    </row>
    <row r="78" spans="1:26" ht="15" customHeight="1">
      <c r="A78" s="27">
        <v>75</v>
      </c>
      <c r="B78" s="28"/>
      <c r="C78" s="29"/>
      <c r="D78" s="27"/>
      <c r="E78" s="30"/>
      <c r="F78" s="30"/>
      <c r="G78" s="27"/>
      <c r="H78" s="31"/>
      <c r="I78" s="30"/>
      <c r="J78" s="30"/>
      <c r="K78" s="30"/>
      <c r="L78" s="31"/>
      <c r="M78" s="32"/>
      <c r="N78" s="29"/>
      <c r="O78" s="27"/>
      <c r="P78" s="28"/>
      <c r="Q78" s="31"/>
      <c r="R78" s="27"/>
      <c r="S78" s="33" t="str">
        <f t="shared" si="10"/>
        <v/>
      </c>
      <c r="T78" s="34" t="str">
        <f t="shared" si="11"/>
        <v/>
      </c>
      <c r="U78" s="34" t="str">
        <f t="shared" si="12"/>
        <v/>
      </c>
      <c r="V78" s="35" t="str">
        <f t="shared" si="13"/>
        <v/>
      </c>
      <c r="W78" s="33" t="str">
        <f t="shared" si="14"/>
        <v/>
      </c>
      <c r="X78" s="35" t="str">
        <f>IF(Q78="","",SUM($V$4:V78))</f>
        <v/>
      </c>
      <c r="Y78" s="35" t="str">
        <f>IF(X78="","",X78-MAX($X$4:X78))</f>
        <v/>
      </c>
      <c r="Z78" s="30"/>
    </row>
    <row r="79" spans="1:26" ht="15" customHeight="1">
      <c r="A79" s="27">
        <v>76</v>
      </c>
      <c r="B79" s="28"/>
      <c r="C79" s="29"/>
      <c r="D79" s="27"/>
      <c r="E79" s="30"/>
      <c r="F79" s="30"/>
      <c r="G79" s="27"/>
      <c r="H79" s="31"/>
      <c r="I79" s="30"/>
      <c r="J79" s="30"/>
      <c r="K79" s="30"/>
      <c r="L79" s="31"/>
      <c r="M79" s="32"/>
      <c r="N79" s="29"/>
      <c r="O79" s="27"/>
      <c r="P79" s="28"/>
      <c r="Q79" s="31"/>
      <c r="R79" s="27"/>
      <c r="S79" s="33" t="str">
        <f t="shared" si="10"/>
        <v/>
      </c>
      <c r="T79" s="34" t="str">
        <f t="shared" si="11"/>
        <v/>
      </c>
      <c r="U79" s="34" t="str">
        <f t="shared" si="12"/>
        <v/>
      </c>
      <c r="V79" s="35" t="str">
        <f t="shared" si="13"/>
        <v/>
      </c>
      <c r="W79" s="33" t="str">
        <f t="shared" si="14"/>
        <v/>
      </c>
      <c r="X79" s="35" t="str">
        <f>IF(Q79="","",SUM($V$4:V79))</f>
        <v/>
      </c>
      <c r="Y79" s="35" t="str">
        <f>IF(X79="","",X79-MAX($X$4:X79))</f>
        <v/>
      </c>
      <c r="Z79" s="30"/>
    </row>
    <row r="80" spans="1:26" ht="15" customHeight="1">
      <c r="A80" s="27">
        <v>77</v>
      </c>
      <c r="B80" s="28"/>
      <c r="C80" s="29"/>
      <c r="D80" s="27"/>
      <c r="E80" s="30"/>
      <c r="F80" s="30"/>
      <c r="G80" s="27"/>
      <c r="H80" s="31"/>
      <c r="I80" s="30"/>
      <c r="J80" s="30"/>
      <c r="K80" s="30"/>
      <c r="L80" s="31"/>
      <c r="M80" s="32"/>
      <c r="N80" s="29"/>
      <c r="O80" s="27"/>
      <c r="P80" s="28"/>
      <c r="Q80" s="31"/>
      <c r="R80" s="27"/>
      <c r="S80" s="33" t="str">
        <f t="shared" si="10"/>
        <v/>
      </c>
      <c r="T80" s="34" t="str">
        <f t="shared" si="11"/>
        <v/>
      </c>
      <c r="U80" s="34" t="str">
        <f t="shared" si="12"/>
        <v/>
      </c>
      <c r="V80" s="35" t="str">
        <f t="shared" si="13"/>
        <v/>
      </c>
      <c r="W80" s="33" t="str">
        <f t="shared" si="14"/>
        <v/>
      </c>
      <c r="X80" s="35" t="str">
        <f>IF(Q80="","",SUM($V$4:V80))</f>
        <v/>
      </c>
      <c r="Y80" s="35" t="str">
        <f>IF(X80="","",X80-MAX($X$4:X80))</f>
        <v/>
      </c>
      <c r="Z80" s="30"/>
    </row>
    <row r="81" spans="1:26" ht="15" customHeight="1">
      <c r="A81" s="27">
        <v>78</v>
      </c>
      <c r="B81" s="28"/>
      <c r="C81" s="29"/>
      <c r="D81" s="27"/>
      <c r="E81" s="30"/>
      <c r="F81" s="30"/>
      <c r="G81" s="27"/>
      <c r="H81" s="31"/>
      <c r="I81" s="30"/>
      <c r="J81" s="30"/>
      <c r="K81" s="30"/>
      <c r="L81" s="31"/>
      <c r="M81" s="32"/>
      <c r="N81" s="29"/>
      <c r="O81" s="27"/>
      <c r="P81" s="28"/>
      <c r="Q81" s="31"/>
      <c r="R81" s="27"/>
      <c r="S81" s="33" t="str">
        <f t="shared" si="10"/>
        <v/>
      </c>
      <c r="T81" s="34" t="str">
        <f t="shared" si="11"/>
        <v/>
      </c>
      <c r="U81" s="34" t="str">
        <f t="shared" si="12"/>
        <v/>
      </c>
      <c r="V81" s="35" t="str">
        <f t="shared" si="13"/>
        <v/>
      </c>
      <c r="W81" s="33" t="str">
        <f t="shared" si="14"/>
        <v/>
      </c>
      <c r="X81" s="35" t="str">
        <f>IF(Q81="","",SUM($V$4:V81))</f>
        <v/>
      </c>
      <c r="Y81" s="35" t="str">
        <f>IF(X81="","",X81-MAX($X$4:X81))</f>
        <v/>
      </c>
      <c r="Z81" s="30"/>
    </row>
    <row r="82" spans="1:26" ht="15" customHeight="1">
      <c r="A82" s="27">
        <v>79</v>
      </c>
      <c r="B82" s="28"/>
      <c r="C82" s="29"/>
      <c r="D82" s="27"/>
      <c r="E82" s="30"/>
      <c r="F82" s="30"/>
      <c r="G82" s="27"/>
      <c r="H82" s="31"/>
      <c r="I82" s="30"/>
      <c r="J82" s="30"/>
      <c r="K82" s="30"/>
      <c r="L82" s="31"/>
      <c r="M82" s="32"/>
      <c r="N82" s="29"/>
      <c r="O82" s="27"/>
      <c r="P82" s="28"/>
      <c r="Q82" s="31"/>
      <c r="R82" s="27"/>
      <c r="S82" s="33" t="str">
        <f t="shared" si="10"/>
        <v/>
      </c>
      <c r="T82" s="34" t="str">
        <f t="shared" si="11"/>
        <v/>
      </c>
      <c r="U82" s="34" t="str">
        <f t="shared" si="12"/>
        <v/>
      </c>
      <c r="V82" s="35" t="str">
        <f t="shared" si="13"/>
        <v/>
      </c>
      <c r="W82" s="33" t="str">
        <f t="shared" si="14"/>
        <v/>
      </c>
      <c r="X82" s="35" t="str">
        <f>IF(Q82="","",SUM($V$4:V82))</f>
        <v/>
      </c>
      <c r="Y82" s="35" t="str">
        <f>IF(X82="","",X82-MAX($X$4:X82))</f>
        <v/>
      </c>
      <c r="Z82" s="30"/>
    </row>
    <row r="83" spans="1:26" ht="15" customHeight="1">
      <c r="A83" s="27">
        <v>80</v>
      </c>
      <c r="B83" s="28"/>
      <c r="C83" s="29"/>
      <c r="D83" s="27"/>
      <c r="E83" s="30"/>
      <c r="F83" s="30"/>
      <c r="G83" s="27"/>
      <c r="H83" s="31"/>
      <c r="I83" s="30"/>
      <c r="J83" s="30"/>
      <c r="K83" s="30"/>
      <c r="L83" s="31"/>
      <c r="M83" s="32"/>
      <c r="N83" s="29"/>
      <c r="O83" s="27"/>
      <c r="P83" s="28"/>
      <c r="Q83" s="31"/>
      <c r="R83" s="27"/>
      <c r="S83" s="33" t="str">
        <f t="shared" si="10"/>
        <v/>
      </c>
      <c r="T83" s="34" t="str">
        <f t="shared" si="11"/>
        <v/>
      </c>
      <c r="U83" s="34" t="str">
        <f t="shared" si="12"/>
        <v/>
      </c>
      <c r="V83" s="35" t="str">
        <f t="shared" si="13"/>
        <v/>
      </c>
      <c r="W83" s="33" t="str">
        <f t="shared" si="14"/>
        <v/>
      </c>
      <c r="X83" s="35" t="str">
        <f>IF(Q83="","",SUM($V$4:V83))</f>
        <v/>
      </c>
      <c r="Y83" s="35" t="str">
        <f>IF(X83="","",X83-MAX($X$4:X83))</f>
        <v/>
      </c>
      <c r="Z83" s="30"/>
    </row>
    <row r="84" spans="1:26" ht="15" customHeight="1">
      <c r="A84" s="27">
        <v>81</v>
      </c>
      <c r="B84" s="28"/>
      <c r="C84" s="29"/>
      <c r="D84" s="27"/>
      <c r="E84" s="30"/>
      <c r="F84" s="30"/>
      <c r="G84" s="27"/>
      <c r="H84" s="31"/>
      <c r="I84" s="30"/>
      <c r="J84" s="30"/>
      <c r="K84" s="30"/>
      <c r="L84" s="31"/>
      <c r="M84" s="32"/>
      <c r="N84" s="29"/>
      <c r="O84" s="27"/>
      <c r="P84" s="28"/>
      <c r="Q84" s="31"/>
      <c r="R84" s="27"/>
      <c r="S84" s="33" t="str">
        <f t="shared" si="10"/>
        <v/>
      </c>
      <c r="T84" s="34" t="str">
        <f t="shared" si="11"/>
        <v/>
      </c>
      <c r="U84" s="34" t="str">
        <f t="shared" si="12"/>
        <v/>
      </c>
      <c r="V84" s="35" t="str">
        <f t="shared" si="13"/>
        <v/>
      </c>
      <c r="W84" s="33" t="str">
        <f t="shared" si="14"/>
        <v/>
      </c>
      <c r="X84" s="35" t="str">
        <f>IF(Q84="","",SUM($V$4:V84))</f>
        <v/>
      </c>
      <c r="Y84" s="35" t="str">
        <f>IF(X84="","",X84-MAX($X$4:X84))</f>
        <v/>
      </c>
      <c r="Z84" s="30"/>
    </row>
    <row r="85" spans="1:26" ht="15" customHeight="1">
      <c r="A85" s="27">
        <v>82</v>
      </c>
      <c r="B85" s="28"/>
      <c r="C85" s="29"/>
      <c r="D85" s="27"/>
      <c r="E85" s="30"/>
      <c r="F85" s="30"/>
      <c r="G85" s="27"/>
      <c r="H85" s="31"/>
      <c r="I85" s="30"/>
      <c r="J85" s="30"/>
      <c r="K85" s="30"/>
      <c r="L85" s="31"/>
      <c r="M85" s="32"/>
      <c r="N85" s="29"/>
      <c r="O85" s="27"/>
      <c r="P85" s="28"/>
      <c r="Q85" s="31"/>
      <c r="R85" s="27"/>
      <c r="S85" s="33" t="str">
        <f t="shared" si="10"/>
        <v/>
      </c>
      <c r="T85" s="34" t="str">
        <f t="shared" si="11"/>
        <v/>
      </c>
      <c r="U85" s="34" t="str">
        <f t="shared" si="12"/>
        <v/>
      </c>
      <c r="V85" s="35" t="str">
        <f t="shared" si="13"/>
        <v/>
      </c>
      <c r="W85" s="33" t="str">
        <f t="shared" si="14"/>
        <v/>
      </c>
      <c r="X85" s="35" t="str">
        <f>IF(Q85="","",SUM($V$4:V85))</f>
        <v/>
      </c>
      <c r="Y85" s="35" t="str">
        <f>IF(X85="","",X85-MAX($X$4:X85))</f>
        <v/>
      </c>
      <c r="Z85" s="30"/>
    </row>
    <row r="86" spans="1:26" ht="15" customHeight="1">
      <c r="A86" s="27">
        <v>83</v>
      </c>
      <c r="B86" s="28"/>
      <c r="C86" s="29"/>
      <c r="D86" s="27"/>
      <c r="E86" s="30"/>
      <c r="F86" s="30"/>
      <c r="G86" s="27"/>
      <c r="H86" s="31"/>
      <c r="I86" s="30"/>
      <c r="J86" s="30"/>
      <c r="K86" s="30"/>
      <c r="L86" s="31"/>
      <c r="M86" s="32"/>
      <c r="N86" s="29"/>
      <c r="O86" s="27"/>
      <c r="P86" s="28"/>
      <c r="Q86" s="31"/>
      <c r="R86" s="27"/>
      <c r="S86" s="33" t="str">
        <f t="shared" si="10"/>
        <v/>
      </c>
      <c r="T86" s="34" t="str">
        <f t="shared" si="11"/>
        <v/>
      </c>
      <c r="U86" s="34" t="str">
        <f t="shared" si="12"/>
        <v/>
      </c>
      <c r="V86" s="35" t="str">
        <f t="shared" si="13"/>
        <v/>
      </c>
      <c r="W86" s="33" t="str">
        <f t="shared" si="14"/>
        <v/>
      </c>
      <c r="X86" s="35" t="str">
        <f>IF(Q86="","",SUM($V$4:V86))</f>
        <v/>
      </c>
      <c r="Y86" s="35" t="str">
        <f>IF(X86="","",X86-MAX($X$4:X86))</f>
        <v/>
      </c>
      <c r="Z86" s="30"/>
    </row>
    <row r="87" spans="1:26" ht="15" customHeight="1">
      <c r="A87" s="27">
        <v>84</v>
      </c>
      <c r="B87" s="28"/>
      <c r="C87" s="29"/>
      <c r="D87" s="27"/>
      <c r="E87" s="30"/>
      <c r="F87" s="30"/>
      <c r="G87" s="27"/>
      <c r="H87" s="31"/>
      <c r="I87" s="30"/>
      <c r="J87" s="30"/>
      <c r="K87" s="30"/>
      <c r="L87" s="31"/>
      <c r="M87" s="32"/>
      <c r="N87" s="29"/>
      <c r="O87" s="27"/>
      <c r="P87" s="28"/>
      <c r="Q87" s="31"/>
      <c r="R87" s="27"/>
      <c r="S87" s="33" t="str">
        <f t="shared" si="10"/>
        <v/>
      </c>
      <c r="T87" s="34" t="str">
        <f t="shared" si="11"/>
        <v/>
      </c>
      <c r="U87" s="34" t="str">
        <f t="shared" si="12"/>
        <v/>
      </c>
      <c r="V87" s="35" t="str">
        <f t="shared" si="13"/>
        <v/>
      </c>
      <c r="W87" s="33" t="str">
        <f t="shared" si="14"/>
        <v/>
      </c>
      <c r="X87" s="35" t="str">
        <f>IF(Q87="","",SUM($V$4:V87))</f>
        <v/>
      </c>
      <c r="Y87" s="35" t="str">
        <f>IF(X87="","",X87-MAX($X$4:X87))</f>
        <v/>
      </c>
      <c r="Z87" s="30"/>
    </row>
    <row r="88" spans="1:26" ht="15" customHeight="1">
      <c r="A88" s="27">
        <v>85</v>
      </c>
      <c r="B88" s="28"/>
      <c r="C88" s="29"/>
      <c r="D88" s="27"/>
      <c r="E88" s="30"/>
      <c r="F88" s="30"/>
      <c r="G88" s="27"/>
      <c r="H88" s="31"/>
      <c r="I88" s="30"/>
      <c r="J88" s="30"/>
      <c r="K88" s="30"/>
      <c r="L88" s="31"/>
      <c r="M88" s="32"/>
      <c r="N88" s="29"/>
      <c r="O88" s="27"/>
      <c r="P88" s="28"/>
      <c r="Q88" s="31"/>
      <c r="R88" s="27"/>
      <c r="S88" s="33" t="str">
        <f t="shared" si="10"/>
        <v/>
      </c>
      <c r="T88" s="34" t="str">
        <f t="shared" si="11"/>
        <v/>
      </c>
      <c r="U88" s="34" t="str">
        <f t="shared" si="12"/>
        <v/>
      </c>
      <c r="V88" s="35" t="str">
        <f t="shared" si="13"/>
        <v/>
      </c>
      <c r="W88" s="33" t="str">
        <f t="shared" si="14"/>
        <v/>
      </c>
      <c r="X88" s="35" t="str">
        <f>IF(Q88="","",SUM($V$4:V88))</f>
        <v/>
      </c>
      <c r="Y88" s="35" t="str">
        <f>IF(X88="","",X88-MAX($X$4:X88))</f>
        <v/>
      </c>
      <c r="Z88" s="30"/>
    </row>
    <row r="89" spans="1:26" ht="15" customHeight="1">
      <c r="A89" s="27">
        <v>86</v>
      </c>
      <c r="B89" s="28"/>
      <c r="C89" s="29"/>
      <c r="D89" s="27"/>
      <c r="E89" s="30"/>
      <c r="F89" s="30"/>
      <c r="G89" s="27"/>
      <c r="H89" s="31"/>
      <c r="I89" s="30"/>
      <c r="J89" s="30"/>
      <c r="K89" s="30"/>
      <c r="L89" s="31"/>
      <c r="M89" s="32"/>
      <c r="N89" s="29"/>
      <c r="O89" s="27"/>
      <c r="P89" s="28"/>
      <c r="Q89" s="31"/>
      <c r="R89" s="27"/>
      <c r="S89" s="33" t="str">
        <f t="shared" si="10"/>
        <v/>
      </c>
      <c r="T89" s="34" t="str">
        <f t="shared" si="11"/>
        <v/>
      </c>
      <c r="U89" s="34" t="str">
        <f t="shared" si="12"/>
        <v/>
      </c>
      <c r="V89" s="35" t="str">
        <f t="shared" si="13"/>
        <v/>
      </c>
      <c r="W89" s="33" t="str">
        <f t="shared" si="14"/>
        <v/>
      </c>
      <c r="X89" s="35" t="str">
        <f>IF(Q89="","",SUM($V$4:V89))</f>
        <v/>
      </c>
      <c r="Y89" s="35" t="str">
        <f>IF(X89="","",X89-MAX($X$4:X89))</f>
        <v/>
      </c>
      <c r="Z89" s="30"/>
    </row>
    <row r="90" spans="1:26" ht="15" customHeight="1">
      <c r="A90" s="27">
        <v>87</v>
      </c>
      <c r="B90" s="28"/>
      <c r="C90" s="29"/>
      <c r="D90" s="27"/>
      <c r="E90" s="30"/>
      <c r="F90" s="30"/>
      <c r="G90" s="27"/>
      <c r="H90" s="31"/>
      <c r="I90" s="30"/>
      <c r="J90" s="30"/>
      <c r="K90" s="30"/>
      <c r="L90" s="31"/>
      <c r="M90" s="32"/>
      <c r="N90" s="29"/>
      <c r="O90" s="27"/>
      <c r="P90" s="28"/>
      <c r="Q90" s="31"/>
      <c r="R90" s="27"/>
      <c r="S90" s="33" t="str">
        <f t="shared" si="10"/>
        <v/>
      </c>
      <c r="T90" s="34" t="str">
        <f t="shared" si="11"/>
        <v/>
      </c>
      <c r="U90" s="34" t="str">
        <f t="shared" si="12"/>
        <v/>
      </c>
      <c r="V90" s="35" t="str">
        <f t="shared" si="13"/>
        <v/>
      </c>
      <c r="W90" s="33" t="str">
        <f t="shared" si="14"/>
        <v/>
      </c>
      <c r="X90" s="35" t="str">
        <f>IF(Q90="","",SUM($V$4:V90))</f>
        <v/>
      </c>
      <c r="Y90" s="35" t="str">
        <f>IF(X90="","",X90-MAX($X$4:X90))</f>
        <v/>
      </c>
      <c r="Z90" s="30"/>
    </row>
    <row r="91" spans="1:26" ht="15" customHeight="1">
      <c r="A91" s="27">
        <v>88</v>
      </c>
      <c r="B91" s="28"/>
      <c r="C91" s="29"/>
      <c r="D91" s="27"/>
      <c r="E91" s="30"/>
      <c r="F91" s="30"/>
      <c r="G91" s="27"/>
      <c r="H91" s="31"/>
      <c r="I91" s="30"/>
      <c r="J91" s="30"/>
      <c r="K91" s="30"/>
      <c r="L91" s="31"/>
      <c r="M91" s="32"/>
      <c r="N91" s="29"/>
      <c r="O91" s="27"/>
      <c r="P91" s="28"/>
      <c r="Q91" s="31"/>
      <c r="R91" s="27"/>
      <c r="S91" s="33" t="str">
        <f t="shared" si="10"/>
        <v/>
      </c>
      <c r="T91" s="34" t="str">
        <f t="shared" si="11"/>
        <v/>
      </c>
      <c r="U91" s="34" t="str">
        <f t="shared" si="12"/>
        <v/>
      </c>
      <c r="V91" s="35" t="str">
        <f t="shared" si="13"/>
        <v/>
      </c>
      <c r="W91" s="33" t="str">
        <f t="shared" si="14"/>
        <v/>
      </c>
      <c r="X91" s="35" t="str">
        <f>IF(Q91="","",SUM($V$4:V91))</f>
        <v/>
      </c>
      <c r="Y91" s="35" t="str">
        <f>IF(X91="","",X91-MAX($X$4:X91))</f>
        <v/>
      </c>
      <c r="Z91" s="30"/>
    </row>
    <row r="92" spans="1:26" ht="15" customHeight="1">
      <c r="A92" s="27">
        <v>89</v>
      </c>
      <c r="B92" s="28"/>
      <c r="C92" s="29"/>
      <c r="D92" s="27"/>
      <c r="E92" s="30"/>
      <c r="F92" s="30"/>
      <c r="G92" s="27"/>
      <c r="H92" s="31"/>
      <c r="I92" s="30"/>
      <c r="J92" s="30"/>
      <c r="K92" s="30"/>
      <c r="L92" s="31"/>
      <c r="M92" s="32"/>
      <c r="N92" s="29"/>
      <c r="O92" s="27"/>
      <c r="P92" s="28"/>
      <c r="Q92" s="31"/>
      <c r="R92" s="27"/>
      <c r="S92" s="33" t="str">
        <f t="shared" si="10"/>
        <v/>
      </c>
      <c r="T92" s="34" t="str">
        <f t="shared" si="11"/>
        <v/>
      </c>
      <c r="U92" s="34" t="str">
        <f t="shared" si="12"/>
        <v/>
      </c>
      <c r="V92" s="35" t="str">
        <f t="shared" si="13"/>
        <v/>
      </c>
      <c r="W92" s="33" t="str">
        <f t="shared" si="14"/>
        <v/>
      </c>
      <c r="X92" s="35" t="str">
        <f>IF(Q92="","",SUM($V$4:V92))</f>
        <v/>
      </c>
      <c r="Y92" s="35" t="str">
        <f>IF(X92="","",X92-MAX($X$4:X92))</f>
        <v/>
      </c>
      <c r="Z92" s="30"/>
    </row>
    <row r="93" spans="1:26" ht="15" customHeight="1">
      <c r="A93" s="27">
        <v>90</v>
      </c>
      <c r="B93" s="28"/>
      <c r="C93" s="29"/>
      <c r="D93" s="27"/>
      <c r="E93" s="30"/>
      <c r="F93" s="30"/>
      <c r="G93" s="27"/>
      <c r="H93" s="31"/>
      <c r="I93" s="30"/>
      <c r="J93" s="30"/>
      <c r="K93" s="30"/>
      <c r="L93" s="31"/>
      <c r="M93" s="32"/>
      <c r="N93" s="29"/>
      <c r="O93" s="27"/>
      <c r="P93" s="28"/>
      <c r="Q93" s="31"/>
      <c r="R93" s="27"/>
      <c r="S93" s="33" t="str">
        <f t="shared" si="10"/>
        <v/>
      </c>
      <c r="T93" s="34" t="str">
        <f t="shared" si="11"/>
        <v/>
      </c>
      <c r="U93" s="34" t="str">
        <f t="shared" si="12"/>
        <v/>
      </c>
      <c r="V93" s="35" t="str">
        <f t="shared" si="13"/>
        <v/>
      </c>
      <c r="W93" s="33" t="str">
        <f t="shared" si="14"/>
        <v/>
      </c>
      <c r="X93" s="35" t="str">
        <f>IF(Q93="","",SUM($V$4:V93))</f>
        <v/>
      </c>
      <c r="Y93" s="35" t="str">
        <f>IF(X93="","",X93-MAX($X$4:X93))</f>
        <v/>
      </c>
      <c r="Z93" s="30"/>
    </row>
    <row r="94" spans="1:26" ht="15" customHeight="1">
      <c r="A94" s="27">
        <v>91</v>
      </c>
      <c r="B94" s="28"/>
      <c r="C94" s="29"/>
      <c r="D94" s="27"/>
      <c r="E94" s="30"/>
      <c r="F94" s="30"/>
      <c r="G94" s="27"/>
      <c r="H94" s="31"/>
      <c r="I94" s="30"/>
      <c r="J94" s="30"/>
      <c r="K94" s="30"/>
      <c r="L94" s="31"/>
      <c r="M94" s="32"/>
      <c r="N94" s="29"/>
      <c r="O94" s="27"/>
      <c r="P94" s="28"/>
      <c r="Q94" s="31"/>
      <c r="R94" s="27"/>
      <c r="S94" s="33" t="str">
        <f t="shared" si="10"/>
        <v/>
      </c>
      <c r="T94" s="34" t="str">
        <f t="shared" si="11"/>
        <v/>
      </c>
      <c r="U94" s="34" t="str">
        <f t="shared" si="12"/>
        <v/>
      </c>
      <c r="V94" s="35" t="str">
        <f t="shared" si="13"/>
        <v/>
      </c>
      <c r="W94" s="33" t="str">
        <f t="shared" si="14"/>
        <v/>
      </c>
      <c r="X94" s="35" t="str">
        <f>IF(Q94="","",SUM($V$4:V94))</f>
        <v/>
      </c>
      <c r="Y94" s="35" t="str">
        <f>IF(X94="","",X94-MAX($X$4:X94))</f>
        <v/>
      </c>
      <c r="Z94" s="30"/>
    </row>
    <row r="95" spans="1:26" ht="15" customHeight="1">
      <c r="A95" s="27">
        <v>92</v>
      </c>
      <c r="B95" s="28"/>
      <c r="C95" s="29"/>
      <c r="D95" s="27"/>
      <c r="E95" s="30"/>
      <c r="F95" s="30"/>
      <c r="G95" s="27"/>
      <c r="H95" s="31"/>
      <c r="I95" s="30"/>
      <c r="J95" s="30"/>
      <c r="K95" s="30"/>
      <c r="L95" s="31"/>
      <c r="M95" s="32"/>
      <c r="N95" s="29"/>
      <c r="O95" s="27"/>
      <c r="P95" s="28"/>
      <c r="Q95" s="31"/>
      <c r="R95" s="27"/>
      <c r="S95" s="33" t="str">
        <f t="shared" si="10"/>
        <v/>
      </c>
      <c r="T95" s="34" t="str">
        <f t="shared" si="11"/>
        <v/>
      </c>
      <c r="U95" s="34" t="str">
        <f t="shared" si="12"/>
        <v/>
      </c>
      <c r="V95" s="35" t="str">
        <f t="shared" si="13"/>
        <v/>
      </c>
      <c r="W95" s="33" t="str">
        <f t="shared" si="14"/>
        <v/>
      </c>
      <c r="X95" s="35" t="str">
        <f>IF(Q95="","",SUM($V$4:V95))</f>
        <v/>
      </c>
      <c r="Y95" s="35" t="str">
        <f>IF(X95="","",X95-MAX($X$4:X95))</f>
        <v/>
      </c>
      <c r="Z95" s="30"/>
    </row>
    <row r="96" spans="1:26" ht="15" customHeight="1">
      <c r="A96" s="27">
        <v>93</v>
      </c>
      <c r="B96" s="28"/>
      <c r="C96" s="29"/>
      <c r="D96" s="27"/>
      <c r="E96" s="30"/>
      <c r="F96" s="30"/>
      <c r="G96" s="27"/>
      <c r="H96" s="31"/>
      <c r="I96" s="30"/>
      <c r="J96" s="30"/>
      <c r="K96" s="30"/>
      <c r="L96" s="31"/>
      <c r="M96" s="32"/>
      <c r="N96" s="29"/>
      <c r="O96" s="27"/>
      <c r="P96" s="28"/>
      <c r="Q96" s="31"/>
      <c r="R96" s="27"/>
      <c r="S96" s="33" t="str">
        <f t="shared" si="10"/>
        <v/>
      </c>
      <c r="T96" s="34" t="str">
        <f t="shared" si="11"/>
        <v/>
      </c>
      <c r="U96" s="34" t="str">
        <f t="shared" si="12"/>
        <v/>
      </c>
      <c r="V96" s="35" t="str">
        <f t="shared" si="13"/>
        <v/>
      </c>
      <c r="W96" s="33" t="str">
        <f t="shared" si="14"/>
        <v/>
      </c>
      <c r="X96" s="35" t="str">
        <f>IF(Q96="","",SUM($V$4:V96))</f>
        <v/>
      </c>
      <c r="Y96" s="35" t="str">
        <f>IF(X96="","",X96-MAX($X$4:X96))</f>
        <v/>
      </c>
      <c r="Z96" s="30"/>
    </row>
    <row r="97" spans="1:26" ht="15" customHeight="1">
      <c r="A97" s="27">
        <v>94</v>
      </c>
      <c r="B97" s="28"/>
      <c r="C97" s="29"/>
      <c r="D97" s="27"/>
      <c r="E97" s="30"/>
      <c r="F97" s="30"/>
      <c r="G97" s="27"/>
      <c r="H97" s="31"/>
      <c r="I97" s="30"/>
      <c r="J97" s="30"/>
      <c r="K97" s="30"/>
      <c r="L97" s="31"/>
      <c r="M97" s="32"/>
      <c r="N97" s="29"/>
      <c r="O97" s="27"/>
      <c r="P97" s="28"/>
      <c r="Q97" s="31"/>
      <c r="R97" s="27"/>
      <c r="S97" s="33" t="str">
        <f t="shared" si="10"/>
        <v/>
      </c>
      <c r="T97" s="34" t="str">
        <f t="shared" si="11"/>
        <v/>
      </c>
      <c r="U97" s="34" t="str">
        <f t="shared" si="12"/>
        <v/>
      </c>
      <c r="V97" s="35" t="str">
        <f t="shared" si="13"/>
        <v/>
      </c>
      <c r="W97" s="33" t="str">
        <f t="shared" si="14"/>
        <v/>
      </c>
      <c r="X97" s="35" t="str">
        <f>IF(Q97="","",SUM($V$4:V97))</f>
        <v/>
      </c>
      <c r="Y97" s="35" t="str">
        <f>IF(X97="","",X97-MAX($X$4:X97))</f>
        <v/>
      </c>
      <c r="Z97" s="30"/>
    </row>
    <row r="98" spans="1:26" ht="15" customHeight="1">
      <c r="A98" s="27">
        <v>95</v>
      </c>
      <c r="B98" s="28"/>
      <c r="C98" s="29"/>
      <c r="D98" s="27"/>
      <c r="E98" s="30"/>
      <c r="F98" s="30"/>
      <c r="G98" s="27"/>
      <c r="H98" s="31"/>
      <c r="I98" s="30"/>
      <c r="J98" s="30"/>
      <c r="K98" s="30"/>
      <c r="L98" s="31"/>
      <c r="M98" s="32"/>
      <c r="N98" s="29"/>
      <c r="O98" s="27"/>
      <c r="P98" s="28"/>
      <c r="Q98" s="31"/>
      <c r="R98" s="27"/>
      <c r="S98" s="33" t="str">
        <f t="shared" si="10"/>
        <v/>
      </c>
      <c r="T98" s="34" t="str">
        <f t="shared" si="11"/>
        <v/>
      </c>
      <c r="U98" s="34" t="str">
        <f t="shared" si="12"/>
        <v/>
      </c>
      <c r="V98" s="35" t="str">
        <f t="shared" si="13"/>
        <v/>
      </c>
      <c r="W98" s="33" t="str">
        <f t="shared" si="14"/>
        <v/>
      </c>
      <c r="X98" s="35" t="str">
        <f>IF(Q98="","",SUM($V$4:V98))</f>
        <v/>
      </c>
      <c r="Y98" s="35" t="str">
        <f>IF(X98="","",X98-MAX($X$4:X98))</f>
        <v/>
      </c>
      <c r="Z98" s="30"/>
    </row>
    <row r="99" spans="1:26" ht="15" customHeight="1">
      <c r="A99" s="27">
        <v>96</v>
      </c>
      <c r="B99" s="28"/>
      <c r="C99" s="29"/>
      <c r="D99" s="27"/>
      <c r="E99" s="30"/>
      <c r="F99" s="30"/>
      <c r="G99" s="27"/>
      <c r="H99" s="31"/>
      <c r="I99" s="30"/>
      <c r="J99" s="30"/>
      <c r="K99" s="30"/>
      <c r="L99" s="31"/>
      <c r="M99" s="32"/>
      <c r="N99" s="29"/>
      <c r="O99" s="27"/>
      <c r="P99" s="28"/>
      <c r="Q99" s="31"/>
      <c r="R99" s="27"/>
      <c r="S99" s="33" t="str">
        <f t="shared" si="10"/>
        <v/>
      </c>
      <c r="T99" s="34" t="str">
        <f t="shared" si="11"/>
        <v/>
      </c>
      <c r="U99" s="34" t="str">
        <f t="shared" si="12"/>
        <v/>
      </c>
      <c r="V99" s="35" t="str">
        <f t="shared" si="13"/>
        <v/>
      </c>
      <c r="W99" s="33" t="str">
        <f t="shared" si="14"/>
        <v/>
      </c>
      <c r="X99" s="35" t="str">
        <f>IF(Q99="","",SUM($V$4:V99))</f>
        <v/>
      </c>
      <c r="Y99" s="35" t="str">
        <f>IF(X99="","",X99-MAX($X$4:X99))</f>
        <v/>
      </c>
      <c r="Z99" s="30"/>
    </row>
    <row r="100" spans="1:26" ht="15" customHeight="1">
      <c r="A100" s="27">
        <v>97</v>
      </c>
      <c r="B100" s="28"/>
      <c r="C100" s="29"/>
      <c r="D100" s="27"/>
      <c r="E100" s="30"/>
      <c r="F100" s="30"/>
      <c r="G100" s="27"/>
      <c r="H100" s="31"/>
      <c r="I100" s="30"/>
      <c r="J100" s="30"/>
      <c r="K100" s="30"/>
      <c r="L100" s="31"/>
      <c r="M100" s="32"/>
      <c r="N100" s="29"/>
      <c r="O100" s="27"/>
      <c r="P100" s="28"/>
      <c r="Q100" s="31"/>
      <c r="R100" s="27"/>
      <c r="S100" s="33" t="str">
        <f t="shared" ref="S100:S131" si="15">IF(R100="","",IF(R100="是",1,IF(R100="部分",0.5,0)))</f>
        <v/>
      </c>
      <c r="T100" s="34" t="str">
        <f t="shared" ref="T100:T131" si="16">IF(OR(Q100="",R100=""),"",IF(OR(R100="是",R100="部分"),IF(Q100&gt;0,"对且赚","对但亏"),IF(Q100&gt;0,"错但赚","错且亏")))</f>
        <v/>
      </c>
      <c r="U100" s="34" t="str">
        <f t="shared" ref="U100:U131" si="17">IF(OR(P100="",B100=""),"",P100-B100)</f>
        <v/>
      </c>
      <c r="V100" s="35" t="str">
        <f t="shared" ref="V100:V131" si="18">IF(OR(L100="",Q100=""),"",L100*Q100)</f>
        <v/>
      </c>
      <c r="W100" s="33" t="str">
        <f t="shared" ref="W100:W131" si="19">IF(OR(H100="",S100=""),"",(H100-S100)^2)</f>
        <v/>
      </c>
      <c r="X100" s="35" t="str">
        <f>IF(Q100="","",SUM($V$4:V100))</f>
        <v/>
      </c>
      <c r="Y100" s="35" t="str">
        <f>IF(X100="","",X100-MAX($X$4:X100))</f>
        <v/>
      </c>
      <c r="Z100" s="30"/>
    </row>
    <row r="101" spans="1:26" ht="15" customHeight="1">
      <c r="A101" s="27">
        <v>98</v>
      </c>
      <c r="B101" s="28"/>
      <c r="C101" s="29"/>
      <c r="D101" s="27"/>
      <c r="E101" s="30"/>
      <c r="F101" s="30"/>
      <c r="G101" s="27"/>
      <c r="H101" s="31"/>
      <c r="I101" s="30"/>
      <c r="J101" s="30"/>
      <c r="K101" s="30"/>
      <c r="L101" s="31"/>
      <c r="M101" s="32"/>
      <c r="N101" s="29"/>
      <c r="O101" s="27"/>
      <c r="P101" s="28"/>
      <c r="Q101" s="31"/>
      <c r="R101" s="27"/>
      <c r="S101" s="33" t="str">
        <f t="shared" si="15"/>
        <v/>
      </c>
      <c r="T101" s="34" t="str">
        <f t="shared" si="16"/>
        <v/>
      </c>
      <c r="U101" s="34" t="str">
        <f t="shared" si="17"/>
        <v/>
      </c>
      <c r="V101" s="35" t="str">
        <f t="shared" si="18"/>
        <v/>
      </c>
      <c r="W101" s="33" t="str">
        <f t="shared" si="19"/>
        <v/>
      </c>
      <c r="X101" s="35" t="str">
        <f>IF(Q101="","",SUM($V$4:V101))</f>
        <v/>
      </c>
      <c r="Y101" s="35" t="str">
        <f>IF(X101="","",X101-MAX($X$4:X101))</f>
        <v/>
      </c>
      <c r="Z101" s="30"/>
    </row>
    <row r="102" spans="1:26" ht="15" customHeight="1">
      <c r="A102" s="27">
        <v>99</v>
      </c>
      <c r="B102" s="28"/>
      <c r="C102" s="29"/>
      <c r="D102" s="27"/>
      <c r="E102" s="30"/>
      <c r="F102" s="30"/>
      <c r="G102" s="27"/>
      <c r="H102" s="31"/>
      <c r="I102" s="30"/>
      <c r="J102" s="30"/>
      <c r="K102" s="30"/>
      <c r="L102" s="31"/>
      <c r="M102" s="32"/>
      <c r="N102" s="29"/>
      <c r="O102" s="27"/>
      <c r="P102" s="28"/>
      <c r="Q102" s="31"/>
      <c r="R102" s="27"/>
      <c r="S102" s="33" t="str">
        <f t="shared" si="15"/>
        <v/>
      </c>
      <c r="T102" s="34" t="str">
        <f t="shared" si="16"/>
        <v/>
      </c>
      <c r="U102" s="34" t="str">
        <f t="shared" si="17"/>
        <v/>
      </c>
      <c r="V102" s="35" t="str">
        <f t="shared" si="18"/>
        <v/>
      </c>
      <c r="W102" s="33" t="str">
        <f t="shared" si="19"/>
        <v/>
      </c>
      <c r="X102" s="35" t="str">
        <f>IF(Q102="","",SUM($V$4:V102))</f>
        <v/>
      </c>
      <c r="Y102" s="35" t="str">
        <f>IF(X102="","",X102-MAX($X$4:X102))</f>
        <v/>
      </c>
      <c r="Z102" s="30"/>
    </row>
    <row r="103" spans="1:26" ht="15" customHeight="1">
      <c r="A103" s="27">
        <v>100</v>
      </c>
      <c r="B103" s="28"/>
      <c r="C103" s="29"/>
      <c r="D103" s="27"/>
      <c r="E103" s="30"/>
      <c r="F103" s="30"/>
      <c r="G103" s="27"/>
      <c r="H103" s="31"/>
      <c r="I103" s="30"/>
      <c r="J103" s="30"/>
      <c r="K103" s="30"/>
      <c r="L103" s="31"/>
      <c r="M103" s="32"/>
      <c r="N103" s="29"/>
      <c r="O103" s="27"/>
      <c r="P103" s="28"/>
      <c r="Q103" s="31"/>
      <c r="R103" s="27"/>
      <c r="S103" s="33" t="str">
        <f t="shared" si="15"/>
        <v/>
      </c>
      <c r="T103" s="34" t="str">
        <f t="shared" si="16"/>
        <v/>
      </c>
      <c r="U103" s="34" t="str">
        <f t="shared" si="17"/>
        <v/>
      </c>
      <c r="V103" s="35" t="str">
        <f t="shared" si="18"/>
        <v/>
      </c>
      <c r="W103" s="33" t="str">
        <f t="shared" si="19"/>
        <v/>
      </c>
      <c r="X103" s="35" t="str">
        <f>IF(Q103="","",SUM($V$4:V103))</f>
        <v/>
      </c>
      <c r="Y103" s="35" t="str">
        <f>IF(X103="","",X103-MAX($X$4:X103))</f>
        <v/>
      </c>
      <c r="Z103" s="30"/>
    </row>
    <row r="104" spans="1:26" ht="15" customHeight="1">
      <c r="A104" s="27">
        <v>101</v>
      </c>
      <c r="B104" s="28"/>
      <c r="C104" s="29"/>
      <c r="D104" s="27"/>
      <c r="E104" s="30"/>
      <c r="F104" s="30"/>
      <c r="G104" s="27"/>
      <c r="H104" s="31"/>
      <c r="I104" s="30"/>
      <c r="J104" s="30"/>
      <c r="K104" s="30"/>
      <c r="L104" s="31"/>
      <c r="M104" s="32"/>
      <c r="N104" s="29"/>
      <c r="O104" s="27"/>
      <c r="P104" s="28"/>
      <c r="Q104" s="31"/>
      <c r="R104" s="27"/>
      <c r="S104" s="33" t="str">
        <f t="shared" si="15"/>
        <v/>
      </c>
      <c r="T104" s="34" t="str">
        <f t="shared" si="16"/>
        <v/>
      </c>
      <c r="U104" s="34" t="str">
        <f t="shared" si="17"/>
        <v/>
      </c>
      <c r="V104" s="35" t="str">
        <f t="shared" si="18"/>
        <v/>
      </c>
      <c r="W104" s="33" t="str">
        <f t="shared" si="19"/>
        <v/>
      </c>
      <c r="X104" s="35" t="str">
        <f>IF(Q104="","",SUM($V$4:V104))</f>
        <v/>
      </c>
      <c r="Y104" s="35" t="str">
        <f>IF(X104="","",X104-MAX($X$4:X104))</f>
        <v/>
      </c>
      <c r="Z104" s="30"/>
    </row>
    <row r="105" spans="1:26" ht="15" customHeight="1">
      <c r="A105" s="27">
        <v>102</v>
      </c>
      <c r="B105" s="28"/>
      <c r="C105" s="29"/>
      <c r="D105" s="27"/>
      <c r="E105" s="30"/>
      <c r="F105" s="30"/>
      <c r="G105" s="27"/>
      <c r="H105" s="31"/>
      <c r="I105" s="30"/>
      <c r="J105" s="30"/>
      <c r="K105" s="30"/>
      <c r="L105" s="31"/>
      <c r="M105" s="32"/>
      <c r="N105" s="29"/>
      <c r="O105" s="27"/>
      <c r="P105" s="28"/>
      <c r="Q105" s="31"/>
      <c r="R105" s="27"/>
      <c r="S105" s="33" t="str">
        <f t="shared" si="15"/>
        <v/>
      </c>
      <c r="T105" s="34" t="str">
        <f t="shared" si="16"/>
        <v/>
      </c>
      <c r="U105" s="34" t="str">
        <f t="shared" si="17"/>
        <v/>
      </c>
      <c r="V105" s="35" t="str">
        <f t="shared" si="18"/>
        <v/>
      </c>
      <c r="W105" s="33" t="str">
        <f t="shared" si="19"/>
        <v/>
      </c>
      <c r="X105" s="35" t="str">
        <f>IF(Q105="","",SUM($V$4:V105))</f>
        <v/>
      </c>
      <c r="Y105" s="35" t="str">
        <f>IF(X105="","",X105-MAX($X$4:X105))</f>
        <v/>
      </c>
      <c r="Z105" s="30"/>
    </row>
    <row r="106" spans="1:26" ht="15" customHeight="1">
      <c r="A106" s="27">
        <v>103</v>
      </c>
      <c r="B106" s="28"/>
      <c r="C106" s="29"/>
      <c r="D106" s="27"/>
      <c r="E106" s="30"/>
      <c r="F106" s="30"/>
      <c r="G106" s="27"/>
      <c r="H106" s="31"/>
      <c r="I106" s="30"/>
      <c r="J106" s="30"/>
      <c r="K106" s="30"/>
      <c r="L106" s="31"/>
      <c r="M106" s="32"/>
      <c r="N106" s="29"/>
      <c r="O106" s="27"/>
      <c r="P106" s="28"/>
      <c r="Q106" s="31"/>
      <c r="R106" s="27"/>
      <c r="S106" s="33" t="str">
        <f t="shared" si="15"/>
        <v/>
      </c>
      <c r="T106" s="34" t="str">
        <f t="shared" si="16"/>
        <v/>
      </c>
      <c r="U106" s="34" t="str">
        <f t="shared" si="17"/>
        <v/>
      </c>
      <c r="V106" s="35" t="str">
        <f t="shared" si="18"/>
        <v/>
      </c>
      <c r="W106" s="33" t="str">
        <f t="shared" si="19"/>
        <v/>
      </c>
      <c r="X106" s="35" t="str">
        <f>IF(Q106="","",SUM($V$4:V106))</f>
        <v/>
      </c>
      <c r="Y106" s="35" t="str">
        <f>IF(X106="","",X106-MAX($X$4:X106))</f>
        <v/>
      </c>
      <c r="Z106" s="30"/>
    </row>
    <row r="107" spans="1:26" ht="15" customHeight="1">
      <c r="A107" s="27">
        <v>104</v>
      </c>
      <c r="B107" s="28"/>
      <c r="C107" s="29"/>
      <c r="D107" s="27"/>
      <c r="E107" s="30"/>
      <c r="F107" s="30"/>
      <c r="G107" s="27"/>
      <c r="H107" s="31"/>
      <c r="I107" s="30"/>
      <c r="J107" s="30"/>
      <c r="K107" s="30"/>
      <c r="L107" s="31"/>
      <c r="M107" s="32"/>
      <c r="N107" s="29"/>
      <c r="O107" s="27"/>
      <c r="P107" s="28"/>
      <c r="Q107" s="31"/>
      <c r="R107" s="27"/>
      <c r="S107" s="33" t="str">
        <f t="shared" si="15"/>
        <v/>
      </c>
      <c r="T107" s="34" t="str">
        <f t="shared" si="16"/>
        <v/>
      </c>
      <c r="U107" s="34" t="str">
        <f t="shared" si="17"/>
        <v/>
      </c>
      <c r="V107" s="35" t="str">
        <f t="shared" si="18"/>
        <v/>
      </c>
      <c r="W107" s="33" t="str">
        <f t="shared" si="19"/>
        <v/>
      </c>
      <c r="X107" s="35" t="str">
        <f>IF(Q107="","",SUM($V$4:V107))</f>
        <v/>
      </c>
      <c r="Y107" s="35" t="str">
        <f>IF(X107="","",X107-MAX($X$4:X107))</f>
        <v/>
      </c>
      <c r="Z107" s="30"/>
    </row>
    <row r="108" spans="1:26" ht="15" customHeight="1">
      <c r="A108" s="27">
        <v>105</v>
      </c>
      <c r="B108" s="28"/>
      <c r="C108" s="29"/>
      <c r="D108" s="27"/>
      <c r="E108" s="30"/>
      <c r="F108" s="30"/>
      <c r="G108" s="27"/>
      <c r="H108" s="31"/>
      <c r="I108" s="30"/>
      <c r="J108" s="30"/>
      <c r="K108" s="30"/>
      <c r="L108" s="31"/>
      <c r="M108" s="32"/>
      <c r="N108" s="29"/>
      <c r="O108" s="27"/>
      <c r="P108" s="28"/>
      <c r="Q108" s="31"/>
      <c r="R108" s="27"/>
      <c r="S108" s="33" t="str">
        <f t="shared" si="15"/>
        <v/>
      </c>
      <c r="T108" s="34" t="str">
        <f t="shared" si="16"/>
        <v/>
      </c>
      <c r="U108" s="34" t="str">
        <f t="shared" si="17"/>
        <v/>
      </c>
      <c r="V108" s="35" t="str">
        <f t="shared" si="18"/>
        <v/>
      </c>
      <c r="W108" s="33" t="str">
        <f t="shared" si="19"/>
        <v/>
      </c>
      <c r="X108" s="35" t="str">
        <f>IF(Q108="","",SUM($V$4:V108))</f>
        <v/>
      </c>
      <c r="Y108" s="35" t="str">
        <f>IF(X108="","",X108-MAX($X$4:X108))</f>
        <v/>
      </c>
      <c r="Z108" s="30"/>
    </row>
    <row r="109" spans="1:26" ht="15" customHeight="1">
      <c r="A109" s="27">
        <v>106</v>
      </c>
      <c r="B109" s="28"/>
      <c r="C109" s="29"/>
      <c r="D109" s="27"/>
      <c r="E109" s="30"/>
      <c r="F109" s="30"/>
      <c r="G109" s="27"/>
      <c r="H109" s="31"/>
      <c r="I109" s="30"/>
      <c r="J109" s="30"/>
      <c r="K109" s="30"/>
      <c r="L109" s="31"/>
      <c r="M109" s="32"/>
      <c r="N109" s="29"/>
      <c r="O109" s="27"/>
      <c r="P109" s="28"/>
      <c r="Q109" s="31"/>
      <c r="R109" s="27"/>
      <c r="S109" s="33" t="str">
        <f t="shared" si="15"/>
        <v/>
      </c>
      <c r="T109" s="34" t="str">
        <f t="shared" si="16"/>
        <v/>
      </c>
      <c r="U109" s="34" t="str">
        <f t="shared" si="17"/>
        <v/>
      </c>
      <c r="V109" s="35" t="str">
        <f t="shared" si="18"/>
        <v/>
      </c>
      <c r="W109" s="33" t="str">
        <f t="shared" si="19"/>
        <v/>
      </c>
      <c r="X109" s="35" t="str">
        <f>IF(Q109="","",SUM($V$4:V109))</f>
        <v/>
      </c>
      <c r="Y109" s="35" t="str">
        <f>IF(X109="","",X109-MAX($X$4:X109))</f>
        <v/>
      </c>
      <c r="Z109" s="30"/>
    </row>
    <row r="110" spans="1:26" ht="15" customHeight="1">
      <c r="A110" s="27">
        <v>107</v>
      </c>
      <c r="B110" s="28"/>
      <c r="C110" s="29"/>
      <c r="D110" s="27"/>
      <c r="E110" s="30"/>
      <c r="F110" s="30"/>
      <c r="G110" s="27"/>
      <c r="H110" s="31"/>
      <c r="I110" s="30"/>
      <c r="J110" s="30"/>
      <c r="K110" s="30"/>
      <c r="L110" s="31"/>
      <c r="M110" s="32"/>
      <c r="N110" s="29"/>
      <c r="O110" s="27"/>
      <c r="P110" s="28"/>
      <c r="Q110" s="31"/>
      <c r="R110" s="27"/>
      <c r="S110" s="33" t="str">
        <f t="shared" si="15"/>
        <v/>
      </c>
      <c r="T110" s="34" t="str">
        <f t="shared" si="16"/>
        <v/>
      </c>
      <c r="U110" s="34" t="str">
        <f t="shared" si="17"/>
        <v/>
      </c>
      <c r="V110" s="35" t="str">
        <f t="shared" si="18"/>
        <v/>
      </c>
      <c r="W110" s="33" t="str">
        <f t="shared" si="19"/>
        <v/>
      </c>
      <c r="X110" s="35" t="str">
        <f>IF(Q110="","",SUM($V$4:V110))</f>
        <v/>
      </c>
      <c r="Y110" s="35" t="str">
        <f>IF(X110="","",X110-MAX($X$4:X110))</f>
        <v/>
      </c>
      <c r="Z110" s="30"/>
    </row>
    <row r="111" spans="1:26" ht="15" customHeight="1">
      <c r="A111" s="27">
        <v>108</v>
      </c>
      <c r="B111" s="28"/>
      <c r="C111" s="29"/>
      <c r="D111" s="27"/>
      <c r="E111" s="30"/>
      <c r="F111" s="30"/>
      <c r="G111" s="27"/>
      <c r="H111" s="31"/>
      <c r="I111" s="30"/>
      <c r="J111" s="30"/>
      <c r="K111" s="30"/>
      <c r="L111" s="31"/>
      <c r="M111" s="32"/>
      <c r="N111" s="29"/>
      <c r="O111" s="27"/>
      <c r="P111" s="28"/>
      <c r="Q111" s="31"/>
      <c r="R111" s="27"/>
      <c r="S111" s="33" t="str">
        <f t="shared" si="15"/>
        <v/>
      </c>
      <c r="T111" s="34" t="str">
        <f t="shared" si="16"/>
        <v/>
      </c>
      <c r="U111" s="34" t="str">
        <f t="shared" si="17"/>
        <v/>
      </c>
      <c r="V111" s="35" t="str">
        <f t="shared" si="18"/>
        <v/>
      </c>
      <c r="W111" s="33" t="str">
        <f t="shared" si="19"/>
        <v/>
      </c>
      <c r="X111" s="35" t="str">
        <f>IF(Q111="","",SUM($V$4:V111))</f>
        <v/>
      </c>
      <c r="Y111" s="35" t="str">
        <f>IF(X111="","",X111-MAX($X$4:X111))</f>
        <v/>
      </c>
      <c r="Z111" s="30"/>
    </row>
    <row r="112" spans="1:26" ht="15" customHeight="1">
      <c r="A112" s="27">
        <v>109</v>
      </c>
      <c r="B112" s="28"/>
      <c r="C112" s="29"/>
      <c r="D112" s="27"/>
      <c r="E112" s="30"/>
      <c r="F112" s="30"/>
      <c r="G112" s="27"/>
      <c r="H112" s="31"/>
      <c r="I112" s="30"/>
      <c r="J112" s="30"/>
      <c r="K112" s="30"/>
      <c r="L112" s="31"/>
      <c r="M112" s="32"/>
      <c r="N112" s="29"/>
      <c r="O112" s="27"/>
      <c r="P112" s="28"/>
      <c r="Q112" s="31"/>
      <c r="R112" s="27"/>
      <c r="S112" s="33" t="str">
        <f t="shared" si="15"/>
        <v/>
      </c>
      <c r="T112" s="34" t="str">
        <f t="shared" si="16"/>
        <v/>
      </c>
      <c r="U112" s="34" t="str">
        <f t="shared" si="17"/>
        <v/>
      </c>
      <c r="V112" s="35" t="str">
        <f t="shared" si="18"/>
        <v/>
      </c>
      <c r="W112" s="33" t="str">
        <f t="shared" si="19"/>
        <v/>
      </c>
      <c r="X112" s="35" t="str">
        <f>IF(Q112="","",SUM($V$4:V112))</f>
        <v/>
      </c>
      <c r="Y112" s="35" t="str">
        <f>IF(X112="","",X112-MAX($X$4:X112))</f>
        <v/>
      </c>
      <c r="Z112" s="30"/>
    </row>
    <row r="113" spans="1:26" ht="15" customHeight="1">
      <c r="A113" s="27">
        <v>110</v>
      </c>
      <c r="B113" s="28"/>
      <c r="C113" s="29"/>
      <c r="D113" s="27"/>
      <c r="E113" s="30"/>
      <c r="F113" s="30"/>
      <c r="G113" s="27"/>
      <c r="H113" s="31"/>
      <c r="I113" s="30"/>
      <c r="J113" s="30"/>
      <c r="K113" s="30"/>
      <c r="L113" s="31"/>
      <c r="M113" s="32"/>
      <c r="N113" s="29"/>
      <c r="O113" s="27"/>
      <c r="P113" s="28"/>
      <c r="Q113" s="31"/>
      <c r="R113" s="27"/>
      <c r="S113" s="33" t="str">
        <f t="shared" si="15"/>
        <v/>
      </c>
      <c r="T113" s="34" t="str">
        <f t="shared" si="16"/>
        <v/>
      </c>
      <c r="U113" s="34" t="str">
        <f t="shared" si="17"/>
        <v/>
      </c>
      <c r="V113" s="35" t="str">
        <f t="shared" si="18"/>
        <v/>
      </c>
      <c r="W113" s="33" t="str">
        <f t="shared" si="19"/>
        <v/>
      </c>
      <c r="X113" s="35" t="str">
        <f>IF(Q113="","",SUM($V$4:V113))</f>
        <v/>
      </c>
      <c r="Y113" s="35" t="str">
        <f>IF(X113="","",X113-MAX($X$4:X113))</f>
        <v/>
      </c>
      <c r="Z113" s="30"/>
    </row>
    <row r="114" spans="1:26" ht="15" customHeight="1">
      <c r="A114" s="27">
        <v>111</v>
      </c>
      <c r="B114" s="28"/>
      <c r="C114" s="29"/>
      <c r="D114" s="27"/>
      <c r="E114" s="30"/>
      <c r="F114" s="30"/>
      <c r="G114" s="27"/>
      <c r="H114" s="31"/>
      <c r="I114" s="30"/>
      <c r="J114" s="30"/>
      <c r="K114" s="30"/>
      <c r="L114" s="31"/>
      <c r="M114" s="32"/>
      <c r="N114" s="29"/>
      <c r="O114" s="27"/>
      <c r="P114" s="28"/>
      <c r="Q114" s="31"/>
      <c r="R114" s="27"/>
      <c r="S114" s="33" t="str">
        <f t="shared" si="15"/>
        <v/>
      </c>
      <c r="T114" s="34" t="str">
        <f t="shared" si="16"/>
        <v/>
      </c>
      <c r="U114" s="34" t="str">
        <f t="shared" si="17"/>
        <v/>
      </c>
      <c r="V114" s="35" t="str">
        <f t="shared" si="18"/>
        <v/>
      </c>
      <c r="W114" s="33" t="str">
        <f t="shared" si="19"/>
        <v/>
      </c>
      <c r="X114" s="35" t="str">
        <f>IF(Q114="","",SUM($V$4:V114))</f>
        <v/>
      </c>
      <c r="Y114" s="35" t="str">
        <f>IF(X114="","",X114-MAX($X$4:X114))</f>
        <v/>
      </c>
      <c r="Z114" s="30"/>
    </row>
    <row r="115" spans="1:26" ht="15" customHeight="1">
      <c r="A115" s="27">
        <v>112</v>
      </c>
      <c r="B115" s="28"/>
      <c r="C115" s="29"/>
      <c r="D115" s="27"/>
      <c r="E115" s="30"/>
      <c r="F115" s="30"/>
      <c r="G115" s="27"/>
      <c r="H115" s="31"/>
      <c r="I115" s="30"/>
      <c r="J115" s="30"/>
      <c r="K115" s="30"/>
      <c r="L115" s="31"/>
      <c r="M115" s="32"/>
      <c r="N115" s="29"/>
      <c r="O115" s="27"/>
      <c r="P115" s="28"/>
      <c r="Q115" s="31"/>
      <c r="R115" s="27"/>
      <c r="S115" s="33" t="str">
        <f t="shared" si="15"/>
        <v/>
      </c>
      <c r="T115" s="34" t="str">
        <f t="shared" si="16"/>
        <v/>
      </c>
      <c r="U115" s="34" t="str">
        <f t="shared" si="17"/>
        <v/>
      </c>
      <c r="V115" s="35" t="str">
        <f t="shared" si="18"/>
        <v/>
      </c>
      <c r="W115" s="33" t="str">
        <f t="shared" si="19"/>
        <v/>
      </c>
      <c r="X115" s="35" t="str">
        <f>IF(Q115="","",SUM($V$4:V115))</f>
        <v/>
      </c>
      <c r="Y115" s="35" t="str">
        <f>IF(X115="","",X115-MAX($X$4:X115))</f>
        <v/>
      </c>
      <c r="Z115" s="30"/>
    </row>
    <row r="116" spans="1:26" ht="15" customHeight="1">
      <c r="A116" s="27">
        <v>113</v>
      </c>
      <c r="B116" s="28"/>
      <c r="C116" s="29"/>
      <c r="D116" s="27"/>
      <c r="E116" s="30"/>
      <c r="F116" s="30"/>
      <c r="G116" s="27"/>
      <c r="H116" s="31"/>
      <c r="I116" s="30"/>
      <c r="J116" s="30"/>
      <c r="K116" s="30"/>
      <c r="L116" s="31"/>
      <c r="M116" s="32"/>
      <c r="N116" s="29"/>
      <c r="O116" s="27"/>
      <c r="P116" s="28"/>
      <c r="Q116" s="31"/>
      <c r="R116" s="27"/>
      <c r="S116" s="33" t="str">
        <f t="shared" si="15"/>
        <v/>
      </c>
      <c r="T116" s="34" t="str">
        <f t="shared" si="16"/>
        <v/>
      </c>
      <c r="U116" s="34" t="str">
        <f t="shared" si="17"/>
        <v/>
      </c>
      <c r="V116" s="35" t="str">
        <f t="shared" si="18"/>
        <v/>
      </c>
      <c r="W116" s="33" t="str">
        <f t="shared" si="19"/>
        <v/>
      </c>
      <c r="X116" s="35" t="str">
        <f>IF(Q116="","",SUM($V$4:V116))</f>
        <v/>
      </c>
      <c r="Y116" s="35" t="str">
        <f>IF(X116="","",X116-MAX($X$4:X116))</f>
        <v/>
      </c>
      <c r="Z116" s="30"/>
    </row>
    <row r="117" spans="1:26" ht="15" customHeight="1">
      <c r="A117" s="27">
        <v>114</v>
      </c>
      <c r="B117" s="28"/>
      <c r="C117" s="29"/>
      <c r="D117" s="27"/>
      <c r="E117" s="30"/>
      <c r="F117" s="30"/>
      <c r="G117" s="27"/>
      <c r="H117" s="31"/>
      <c r="I117" s="30"/>
      <c r="J117" s="30"/>
      <c r="K117" s="30"/>
      <c r="L117" s="31"/>
      <c r="M117" s="32"/>
      <c r="N117" s="29"/>
      <c r="O117" s="27"/>
      <c r="P117" s="28"/>
      <c r="Q117" s="31"/>
      <c r="R117" s="27"/>
      <c r="S117" s="33" t="str">
        <f t="shared" si="15"/>
        <v/>
      </c>
      <c r="T117" s="34" t="str">
        <f t="shared" si="16"/>
        <v/>
      </c>
      <c r="U117" s="34" t="str">
        <f t="shared" si="17"/>
        <v/>
      </c>
      <c r="V117" s="35" t="str">
        <f t="shared" si="18"/>
        <v/>
      </c>
      <c r="W117" s="33" t="str">
        <f t="shared" si="19"/>
        <v/>
      </c>
      <c r="X117" s="35" t="str">
        <f>IF(Q117="","",SUM($V$4:V117))</f>
        <v/>
      </c>
      <c r="Y117" s="35" t="str">
        <f>IF(X117="","",X117-MAX($X$4:X117))</f>
        <v/>
      </c>
      <c r="Z117" s="30"/>
    </row>
    <row r="118" spans="1:26" ht="15" customHeight="1">
      <c r="A118" s="27">
        <v>115</v>
      </c>
      <c r="B118" s="28"/>
      <c r="C118" s="29"/>
      <c r="D118" s="27"/>
      <c r="E118" s="30"/>
      <c r="F118" s="30"/>
      <c r="G118" s="27"/>
      <c r="H118" s="31"/>
      <c r="I118" s="30"/>
      <c r="J118" s="30"/>
      <c r="K118" s="30"/>
      <c r="L118" s="31"/>
      <c r="M118" s="32"/>
      <c r="N118" s="29"/>
      <c r="O118" s="27"/>
      <c r="P118" s="28"/>
      <c r="Q118" s="31"/>
      <c r="R118" s="27"/>
      <c r="S118" s="33" t="str">
        <f t="shared" si="15"/>
        <v/>
      </c>
      <c r="T118" s="34" t="str">
        <f t="shared" si="16"/>
        <v/>
      </c>
      <c r="U118" s="34" t="str">
        <f t="shared" si="17"/>
        <v/>
      </c>
      <c r="V118" s="35" t="str">
        <f t="shared" si="18"/>
        <v/>
      </c>
      <c r="W118" s="33" t="str">
        <f t="shared" si="19"/>
        <v/>
      </c>
      <c r="X118" s="35" t="str">
        <f>IF(Q118="","",SUM($V$4:V118))</f>
        <v/>
      </c>
      <c r="Y118" s="35" t="str">
        <f>IF(X118="","",X118-MAX($X$4:X118))</f>
        <v/>
      </c>
      <c r="Z118" s="30"/>
    </row>
    <row r="119" spans="1:26" ht="15" customHeight="1">
      <c r="A119" s="27">
        <v>116</v>
      </c>
      <c r="B119" s="28"/>
      <c r="C119" s="29"/>
      <c r="D119" s="27"/>
      <c r="E119" s="30"/>
      <c r="F119" s="30"/>
      <c r="G119" s="27"/>
      <c r="H119" s="31"/>
      <c r="I119" s="30"/>
      <c r="J119" s="30"/>
      <c r="K119" s="30"/>
      <c r="L119" s="31"/>
      <c r="M119" s="32"/>
      <c r="N119" s="29"/>
      <c r="O119" s="27"/>
      <c r="P119" s="28"/>
      <c r="Q119" s="31"/>
      <c r="R119" s="27"/>
      <c r="S119" s="33" t="str">
        <f t="shared" si="15"/>
        <v/>
      </c>
      <c r="T119" s="34" t="str">
        <f t="shared" si="16"/>
        <v/>
      </c>
      <c r="U119" s="34" t="str">
        <f t="shared" si="17"/>
        <v/>
      </c>
      <c r="V119" s="35" t="str">
        <f t="shared" si="18"/>
        <v/>
      </c>
      <c r="W119" s="33" t="str">
        <f t="shared" si="19"/>
        <v/>
      </c>
      <c r="X119" s="35" t="str">
        <f>IF(Q119="","",SUM($V$4:V119))</f>
        <v/>
      </c>
      <c r="Y119" s="35" t="str">
        <f>IF(X119="","",X119-MAX($X$4:X119))</f>
        <v/>
      </c>
      <c r="Z119" s="30"/>
    </row>
    <row r="120" spans="1:26" ht="15" customHeight="1">
      <c r="A120" s="27">
        <v>117</v>
      </c>
      <c r="B120" s="28"/>
      <c r="C120" s="29"/>
      <c r="D120" s="27"/>
      <c r="E120" s="30"/>
      <c r="F120" s="30"/>
      <c r="G120" s="27"/>
      <c r="H120" s="31"/>
      <c r="I120" s="30"/>
      <c r="J120" s="30"/>
      <c r="K120" s="30"/>
      <c r="L120" s="31"/>
      <c r="M120" s="32"/>
      <c r="N120" s="29"/>
      <c r="O120" s="27"/>
      <c r="P120" s="28"/>
      <c r="Q120" s="31"/>
      <c r="R120" s="27"/>
      <c r="S120" s="33" t="str">
        <f t="shared" si="15"/>
        <v/>
      </c>
      <c r="T120" s="34" t="str">
        <f t="shared" si="16"/>
        <v/>
      </c>
      <c r="U120" s="34" t="str">
        <f t="shared" si="17"/>
        <v/>
      </c>
      <c r="V120" s="35" t="str">
        <f t="shared" si="18"/>
        <v/>
      </c>
      <c r="W120" s="33" t="str">
        <f t="shared" si="19"/>
        <v/>
      </c>
      <c r="X120" s="35" t="str">
        <f>IF(Q120="","",SUM($V$4:V120))</f>
        <v/>
      </c>
      <c r="Y120" s="35" t="str">
        <f>IF(X120="","",X120-MAX($X$4:X120))</f>
        <v/>
      </c>
      <c r="Z120" s="30"/>
    </row>
    <row r="121" spans="1:26" ht="15" customHeight="1">
      <c r="A121" s="27">
        <v>118</v>
      </c>
      <c r="B121" s="28"/>
      <c r="C121" s="29"/>
      <c r="D121" s="27"/>
      <c r="E121" s="30"/>
      <c r="F121" s="30"/>
      <c r="G121" s="27"/>
      <c r="H121" s="31"/>
      <c r="I121" s="30"/>
      <c r="J121" s="30"/>
      <c r="K121" s="30"/>
      <c r="L121" s="31"/>
      <c r="M121" s="32"/>
      <c r="N121" s="29"/>
      <c r="O121" s="27"/>
      <c r="P121" s="28"/>
      <c r="Q121" s="31"/>
      <c r="R121" s="27"/>
      <c r="S121" s="33" t="str">
        <f t="shared" si="15"/>
        <v/>
      </c>
      <c r="T121" s="34" t="str">
        <f t="shared" si="16"/>
        <v/>
      </c>
      <c r="U121" s="34" t="str">
        <f t="shared" si="17"/>
        <v/>
      </c>
      <c r="V121" s="35" t="str">
        <f t="shared" si="18"/>
        <v/>
      </c>
      <c r="W121" s="33" t="str">
        <f t="shared" si="19"/>
        <v/>
      </c>
      <c r="X121" s="35" t="str">
        <f>IF(Q121="","",SUM($V$4:V121))</f>
        <v/>
      </c>
      <c r="Y121" s="35" t="str">
        <f>IF(X121="","",X121-MAX($X$4:X121))</f>
        <v/>
      </c>
      <c r="Z121" s="30"/>
    </row>
    <row r="122" spans="1:26" ht="15" customHeight="1">
      <c r="A122" s="27">
        <v>119</v>
      </c>
      <c r="B122" s="28"/>
      <c r="C122" s="29"/>
      <c r="D122" s="27"/>
      <c r="E122" s="30"/>
      <c r="F122" s="30"/>
      <c r="G122" s="27"/>
      <c r="H122" s="31"/>
      <c r="I122" s="30"/>
      <c r="J122" s="30"/>
      <c r="K122" s="30"/>
      <c r="L122" s="31"/>
      <c r="M122" s="32"/>
      <c r="N122" s="29"/>
      <c r="O122" s="27"/>
      <c r="P122" s="28"/>
      <c r="Q122" s="31"/>
      <c r="R122" s="27"/>
      <c r="S122" s="33" t="str">
        <f t="shared" si="15"/>
        <v/>
      </c>
      <c r="T122" s="34" t="str">
        <f t="shared" si="16"/>
        <v/>
      </c>
      <c r="U122" s="34" t="str">
        <f t="shared" si="17"/>
        <v/>
      </c>
      <c r="V122" s="35" t="str">
        <f t="shared" si="18"/>
        <v/>
      </c>
      <c r="W122" s="33" t="str">
        <f t="shared" si="19"/>
        <v/>
      </c>
      <c r="X122" s="35" t="str">
        <f>IF(Q122="","",SUM($V$4:V122))</f>
        <v/>
      </c>
      <c r="Y122" s="35" t="str">
        <f>IF(X122="","",X122-MAX($X$4:X122))</f>
        <v/>
      </c>
      <c r="Z122" s="30"/>
    </row>
    <row r="123" spans="1:26" ht="15" customHeight="1">
      <c r="A123" s="27">
        <v>120</v>
      </c>
      <c r="B123" s="28"/>
      <c r="C123" s="29"/>
      <c r="D123" s="27"/>
      <c r="E123" s="30"/>
      <c r="F123" s="30"/>
      <c r="G123" s="27"/>
      <c r="H123" s="31"/>
      <c r="I123" s="30"/>
      <c r="J123" s="30"/>
      <c r="K123" s="30"/>
      <c r="L123" s="31"/>
      <c r="M123" s="32"/>
      <c r="N123" s="29"/>
      <c r="O123" s="27"/>
      <c r="P123" s="28"/>
      <c r="Q123" s="31"/>
      <c r="R123" s="27"/>
      <c r="S123" s="33" t="str">
        <f t="shared" si="15"/>
        <v/>
      </c>
      <c r="T123" s="34" t="str">
        <f t="shared" si="16"/>
        <v/>
      </c>
      <c r="U123" s="34" t="str">
        <f t="shared" si="17"/>
        <v/>
      </c>
      <c r="V123" s="35" t="str">
        <f t="shared" si="18"/>
        <v/>
      </c>
      <c r="W123" s="33" t="str">
        <f t="shared" si="19"/>
        <v/>
      </c>
      <c r="X123" s="35" t="str">
        <f>IF(Q123="","",SUM($V$4:V123))</f>
        <v/>
      </c>
      <c r="Y123" s="35" t="str">
        <f>IF(X123="","",X123-MAX($X$4:X123))</f>
        <v/>
      </c>
      <c r="Z123" s="30"/>
    </row>
    <row r="124" spans="1:26" ht="15" customHeight="1">
      <c r="A124" s="27">
        <v>121</v>
      </c>
      <c r="B124" s="28"/>
      <c r="C124" s="29"/>
      <c r="D124" s="27"/>
      <c r="E124" s="30"/>
      <c r="F124" s="30"/>
      <c r="G124" s="27"/>
      <c r="H124" s="31"/>
      <c r="I124" s="30"/>
      <c r="J124" s="30"/>
      <c r="K124" s="30"/>
      <c r="L124" s="31"/>
      <c r="M124" s="32"/>
      <c r="N124" s="29"/>
      <c r="O124" s="27"/>
      <c r="P124" s="28"/>
      <c r="Q124" s="31"/>
      <c r="R124" s="27"/>
      <c r="S124" s="33" t="str">
        <f t="shared" si="15"/>
        <v/>
      </c>
      <c r="T124" s="34" t="str">
        <f t="shared" si="16"/>
        <v/>
      </c>
      <c r="U124" s="34" t="str">
        <f t="shared" si="17"/>
        <v/>
      </c>
      <c r="V124" s="35" t="str">
        <f t="shared" si="18"/>
        <v/>
      </c>
      <c r="W124" s="33" t="str">
        <f t="shared" si="19"/>
        <v/>
      </c>
      <c r="X124" s="35" t="str">
        <f>IF(Q124="","",SUM($V$4:V124))</f>
        <v/>
      </c>
      <c r="Y124" s="35" t="str">
        <f>IF(X124="","",X124-MAX($X$4:X124))</f>
        <v/>
      </c>
      <c r="Z124" s="30"/>
    </row>
    <row r="125" spans="1:26" ht="15" customHeight="1">
      <c r="A125" s="27">
        <v>122</v>
      </c>
      <c r="B125" s="28"/>
      <c r="C125" s="29"/>
      <c r="D125" s="27"/>
      <c r="E125" s="30"/>
      <c r="F125" s="30"/>
      <c r="G125" s="27"/>
      <c r="H125" s="31"/>
      <c r="I125" s="30"/>
      <c r="J125" s="30"/>
      <c r="K125" s="30"/>
      <c r="L125" s="31"/>
      <c r="M125" s="32"/>
      <c r="N125" s="29"/>
      <c r="O125" s="27"/>
      <c r="P125" s="28"/>
      <c r="Q125" s="31"/>
      <c r="R125" s="27"/>
      <c r="S125" s="33" t="str">
        <f t="shared" si="15"/>
        <v/>
      </c>
      <c r="T125" s="34" t="str">
        <f t="shared" si="16"/>
        <v/>
      </c>
      <c r="U125" s="34" t="str">
        <f t="shared" si="17"/>
        <v/>
      </c>
      <c r="V125" s="35" t="str">
        <f t="shared" si="18"/>
        <v/>
      </c>
      <c r="W125" s="33" t="str">
        <f t="shared" si="19"/>
        <v/>
      </c>
      <c r="X125" s="35" t="str">
        <f>IF(Q125="","",SUM($V$4:V125))</f>
        <v/>
      </c>
      <c r="Y125" s="35" t="str">
        <f>IF(X125="","",X125-MAX($X$4:X125))</f>
        <v/>
      </c>
      <c r="Z125" s="30"/>
    </row>
    <row r="126" spans="1:26" ht="15" customHeight="1">
      <c r="A126" s="27">
        <v>123</v>
      </c>
      <c r="B126" s="28"/>
      <c r="C126" s="29"/>
      <c r="D126" s="27"/>
      <c r="E126" s="30"/>
      <c r="F126" s="30"/>
      <c r="G126" s="27"/>
      <c r="H126" s="31"/>
      <c r="I126" s="30"/>
      <c r="J126" s="30"/>
      <c r="K126" s="30"/>
      <c r="L126" s="31"/>
      <c r="M126" s="32"/>
      <c r="N126" s="29"/>
      <c r="O126" s="27"/>
      <c r="P126" s="28"/>
      <c r="Q126" s="31"/>
      <c r="R126" s="27"/>
      <c r="S126" s="33" t="str">
        <f t="shared" si="15"/>
        <v/>
      </c>
      <c r="T126" s="34" t="str">
        <f t="shared" si="16"/>
        <v/>
      </c>
      <c r="U126" s="34" t="str">
        <f t="shared" si="17"/>
        <v/>
      </c>
      <c r="V126" s="35" t="str">
        <f t="shared" si="18"/>
        <v/>
      </c>
      <c r="W126" s="33" t="str">
        <f t="shared" si="19"/>
        <v/>
      </c>
      <c r="X126" s="35" t="str">
        <f>IF(Q126="","",SUM($V$4:V126))</f>
        <v/>
      </c>
      <c r="Y126" s="35" t="str">
        <f>IF(X126="","",X126-MAX($X$4:X126))</f>
        <v/>
      </c>
      <c r="Z126" s="30"/>
    </row>
    <row r="127" spans="1:26" ht="15" customHeight="1">
      <c r="A127" s="27">
        <v>124</v>
      </c>
      <c r="B127" s="28"/>
      <c r="C127" s="29"/>
      <c r="D127" s="27"/>
      <c r="E127" s="30"/>
      <c r="F127" s="30"/>
      <c r="G127" s="27"/>
      <c r="H127" s="31"/>
      <c r="I127" s="30"/>
      <c r="J127" s="30"/>
      <c r="K127" s="30"/>
      <c r="L127" s="31"/>
      <c r="M127" s="32"/>
      <c r="N127" s="29"/>
      <c r="O127" s="27"/>
      <c r="P127" s="28"/>
      <c r="Q127" s="31"/>
      <c r="R127" s="27"/>
      <c r="S127" s="33" t="str">
        <f t="shared" si="15"/>
        <v/>
      </c>
      <c r="T127" s="34" t="str">
        <f t="shared" si="16"/>
        <v/>
      </c>
      <c r="U127" s="34" t="str">
        <f t="shared" si="17"/>
        <v/>
      </c>
      <c r="V127" s="35" t="str">
        <f t="shared" si="18"/>
        <v/>
      </c>
      <c r="W127" s="33" t="str">
        <f t="shared" si="19"/>
        <v/>
      </c>
      <c r="X127" s="35" t="str">
        <f>IF(Q127="","",SUM($V$4:V127))</f>
        <v/>
      </c>
      <c r="Y127" s="35" t="str">
        <f>IF(X127="","",X127-MAX($X$4:X127))</f>
        <v/>
      </c>
      <c r="Z127" s="30"/>
    </row>
    <row r="128" spans="1:26" ht="15" customHeight="1">
      <c r="A128" s="27">
        <v>125</v>
      </c>
      <c r="B128" s="28"/>
      <c r="C128" s="29"/>
      <c r="D128" s="27"/>
      <c r="E128" s="30"/>
      <c r="F128" s="30"/>
      <c r="G128" s="27"/>
      <c r="H128" s="31"/>
      <c r="I128" s="30"/>
      <c r="J128" s="30"/>
      <c r="K128" s="30"/>
      <c r="L128" s="31"/>
      <c r="M128" s="32"/>
      <c r="N128" s="29"/>
      <c r="O128" s="27"/>
      <c r="P128" s="28"/>
      <c r="Q128" s="31"/>
      <c r="R128" s="27"/>
      <c r="S128" s="33" t="str">
        <f t="shared" si="15"/>
        <v/>
      </c>
      <c r="T128" s="34" t="str">
        <f t="shared" si="16"/>
        <v/>
      </c>
      <c r="U128" s="34" t="str">
        <f t="shared" si="17"/>
        <v/>
      </c>
      <c r="V128" s="35" t="str">
        <f t="shared" si="18"/>
        <v/>
      </c>
      <c r="W128" s="33" t="str">
        <f t="shared" si="19"/>
        <v/>
      </c>
      <c r="X128" s="35" t="str">
        <f>IF(Q128="","",SUM($V$4:V128))</f>
        <v/>
      </c>
      <c r="Y128" s="35" t="str">
        <f>IF(X128="","",X128-MAX($X$4:X128))</f>
        <v/>
      </c>
      <c r="Z128" s="30"/>
    </row>
    <row r="129" spans="1:26" ht="15" customHeight="1">
      <c r="A129" s="27">
        <v>126</v>
      </c>
      <c r="B129" s="28"/>
      <c r="C129" s="29"/>
      <c r="D129" s="27"/>
      <c r="E129" s="30"/>
      <c r="F129" s="30"/>
      <c r="G129" s="27"/>
      <c r="H129" s="31"/>
      <c r="I129" s="30"/>
      <c r="J129" s="30"/>
      <c r="K129" s="30"/>
      <c r="L129" s="31"/>
      <c r="M129" s="32"/>
      <c r="N129" s="29"/>
      <c r="O129" s="27"/>
      <c r="P129" s="28"/>
      <c r="Q129" s="31"/>
      <c r="R129" s="27"/>
      <c r="S129" s="33" t="str">
        <f t="shared" si="15"/>
        <v/>
      </c>
      <c r="T129" s="34" t="str">
        <f t="shared" si="16"/>
        <v/>
      </c>
      <c r="U129" s="34" t="str">
        <f t="shared" si="17"/>
        <v/>
      </c>
      <c r="V129" s="35" t="str">
        <f t="shared" si="18"/>
        <v/>
      </c>
      <c r="W129" s="33" t="str">
        <f t="shared" si="19"/>
        <v/>
      </c>
      <c r="X129" s="35" t="str">
        <f>IF(Q129="","",SUM($V$4:V129))</f>
        <v/>
      </c>
      <c r="Y129" s="35" t="str">
        <f>IF(X129="","",X129-MAX($X$4:X129))</f>
        <v/>
      </c>
      <c r="Z129" s="30"/>
    </row>
    <row r="130" spans="1:26" ht="15" customHeight="1">
      <c r="A130" s="27">
        <v>127</v>
      </c>
      <c r="B130" s="28"/>
      <c r="C130" s="29"/>
      <c r="D130" s="27"/>
      <c r="E130" s="30"/>
      <c r="F130" s="30"/>
      <c r="G130" s="27"/>
      <c r="H130" s="31"/>
      <c r="I130" s="30"/>
      <c r="J130" s="30"/>
      <c r="K130" s="30"/>
      <c r="L130" s="31"/>
      <c r="M130" s="32"/>
      <c r="N130" s="29"/>
      <c r="O130" s="27"/>
      <c r="P130" s="28"/>
      <c r="Q130" s="31"/>
      <c r="R130" s="27"/>
      <c r="S130" s="33" t="str">
        <f t="shared" si="15"/>
        <v/>
      </c>
      <c r="T130" s="34" t="str">
        <f t="shared" si="16"/>
        <v/>
      </c>
      <c r="U130" s="34" t="str">
        <f t="shared" si="17"/>
        <v/>
      </c>
      <c r="V130" s="35" t="str">
        <f t="shared" si="18"/>
        <v/>
      </c>
      <c r="W130" s="33" t="str">
        <f t="shared" si="19"/>
        <v/>
      </c>
      <c r="X130" s="35" t="str">
        <f>IF(Q130="","",SUM($V$4:V130))</f>
        <v/>
      </c>
      <c r="Y130" s="35" t="str">
        <f>IF(X130="","",X130-MAX($X$4:X130))</f>
        <v/>
      </c>
      <c r="Z130" s="30"/>
    </row>
    <row r="131" spans="1:26" ht="15" customHeight="1">
      <c r="A131" s="27">
        <v>128</v>
      </c>
      <c r="B131" s="28"/>
      <c r="C131" s="29"/>
      <c r="D131" s="27"/>
      <c r="E131" s="30"/>
      <c r="F131" s="30"/>
      <c r="G131" s="27"/>
      <c r="H131" s="31"/>
      <c r="I131" s="30"/>
      <c r="J131" s="30"/>
      <c r="K131" s="30"/>
      <c r="L131" s="31"/>
      <c r="M131" s="32"/>
      <c r="N131" s="29"/>
      <c r="O131" s="27"/>
      <c r="P131" s="28"/>
      <c r="Q131" s="31"/>
      <c r="R131" s="27"/>
      <c r="S131" s="33" t="str">
        <f t="shared" si="15"/>
        <v/>
      </c>
      <c r="T131" s="34" t="str">
        <f t="shared" si="16"/>
        <v/>
      </c>
      <c r="U131" s="34" t="str">
        <f t="shared" si="17"/>
        <v/>
      </c>
      <c r="V131" s="35" t="str">
        <f t="shared" si="18"/>
        <v/>
      </c>
      <c r="W131" s="33" t="str">
        <f t="shared" si="19"/>
        <v/>
      </c>
      <c r="X131" s="35" t="str">
        <f>IF(Q131="","",SUM($V$4:V131))</f>
        <v/>
      </c>
      <c r="Y131" s="35" t="str">
        <f>IF(X131="","",X131-MAX($X$4:X131))</f>
        <v/>
      </c>
      <c r="Z131" s="30"/>
    </row>
    <row r="132" spans="1:26" ht="15" customHeight="1">
      <c r="A132" s="27">
        <v>129</v>
      </c>
      <c r="B132" s="28"/>
      <c r="C132" s="29"/>
      <c r="D132" s="27"/>
      <c r="E132" s="30"/>
      <c r="F132" s="30"/>
      <c r="G132" s="27"/>
      <c r="H132" s="31"/>
      <c r="I132" s="30"/>
      <c r="J132" s="30"/>
      <c r="K132" s="30"/>
      <c r="L132" s="31"/>
      <c r="M132" s="32"/>
      <c r="N132" s="29"/>
      <c r="O132" s="27"/>
      <c r="P132" s="28"/>
      <c r="Q132" s="31"/>
      <c r="R132" s="27"/>
      <c r="S132" s="33" t="str">
        <f t="shared" ref="S132:S163" si="20">IF(R132="","",IF(R132="是",1,IF(R132="部分",0.5,0)))</f>
        <v/>
      </c>
      <c r="T132" s="34" t="str">
        <f t="shared" ref="T132:T163" si="21">IF(OR(Q132="",R132=""),"",IF(OR(R132="是",R132="部分"),IF(Q132&gt;0,"对且赚","对但亏"),IF(Q132&gt;0,"错但赚","错且亏")))</f>
        <v/>
      </c>
      <c r="U132" s="34" t="str">
        <f t="shared" ref="U132:U163" si="22">IF(OR(P132="",B132=""),"",P132-B132)</f>
        <v/>
      </c>
      <c r="V132" s="35" t="str">
        <f t="shared" ref="V132:V163" si="23">IF(OR(L132="",Q132=""),"",L132*Q132)</f>
        <v/>
      </c>
      <c r="W132" s="33" t="str">
        <f t="shared" ref="W132:W163" si="24">IF(OR(H132="",S132=""),"",(H132-S132)^2)</f>
        <v/>
      </c>
      <c r="X132" s="35" t="str">
        <f>IF(Q132="","",SUM($V$4:V132))</f>
        <v/>
      </c>
      <c r="Y132" s="35" t="str">
        <f>IF(X132="","",X132-MAX($X$4:X132))</f>
        <v/>
      </c>
      <c r="Z132" s="30"/>
    </row>
    <row r="133" spans="1:26" ht="15" customHeight="1">
      <c r="A133" s="27">
        <v>130</v>
      </c>
      <c r="B133" s="28"/>
      <c r="C133" s="29"/>
      <c r="D133" s="27"/>
      <c r="E133" s="30"/>
      <c r="F133" s="30"/>
      <c r="G133" s="27"/>
      <c r="H133" s="31"/>
      <c r="I133" s="30"/>
      <c r="J133" s="30"/>
      <c r="K133" s="30"/>
      <c r="L133" s="31"/>
      <c r="M133" s="32"/>
      <c r="N133" s="29"/>
      <c r="O133" s="27"/>
      <c r="P133" s="28"/>
      <c r="Q133" s="31"/>
      <c r="R133" s="27"/>
      <c r="S133" s="33" t="str">
        <f t="shared" si="20"/>
        <v/>
      </c>
      <c r="T133" s="34" t="str">
        <f t="shared" si="21"/>
        <v/>
      </c>
      <c r="U133" s="34" t="str">
        <f t="shared" si="22"/>
        <v/>
      </c>
      <c r="V133" s="35" t="str">
        <f t="shared" si="23"/>
        <v/>
      </c>
      <c r="W133" s="33" t="str">
        <f t="shared" si="24"/>
        <v/>
      </c>
      <c r="X133" s="35" t="str">
        <f>IF(Q133="","",SUM($V$4:V133))</f>
        <v/>
      </c>
      <c r="Y133" s="35" t="str">
        <f>IF(X133="","",X133-MAX($X$4:X133))</f>
        <v/>
      </c>
      <c r="Z133" s="30"/>
    </row>
    <row r="134" spans="1:26" ht="15" customHeight="1">
      <c r="A134" s="27">
        <v>131</v>
      </c>
      <c r="B134" s="28"/>
      <c r="C134" s="29"/>
      <c r="D134" s="27"/>
      <c r="E134" s="30"/>
      <c r="F134" s="30"/>
      <c r="G134" s="27"/>
      <c r="H134" s="31"/>
      <c r="I134" s="30"/>
      <c r="J134" s="30"/>
      <c r="K134" s="30"/>
      <c r="L134" s="31"/>
      <c r="M134" s="32"/>
      <c r="N134" s="29"/>
      <c r="O134" s="27"/>
      <c r="P134" s="28"/>
      <c r="Q134" s="31"/>
      <c r="R134" s="27"/>
      <c r="S134" s="33" t="str">
        <f t="shared" si="20"/>
        <v/>
      </c>
      <c r="T134" s="34" t="str">
        <f t="shared" si="21"/>
        <v/>
      </c>
      <c r="U134" s="34" t="str">
        <f t="shared" si="22"/>
        <v/>
      </c>
      <c r="V134" s="35" t="str">
        <f t="shared" si="23"/>
        <v/>
      </c>
      <c r="W134" s="33" t="str">
        <f t="shared" si="24"/>
        <v/>
      </c>
      <c r="X134" s="35" t="str">
        <f>IF(Q134="","",SUM($V$4:V134))</f>
        <v/>
      </c>
      <c r="Y134" s="35" t="str">
        <f>IF(X134="","",X134-MAX($X$4:X134))</f>
        <v/>
      </c>
      <c r="Z134" s="30"/>
    </row>
    <row r="135" spans="1:26" ht="15" customHeight="1">
      <c r="A135" s="27">
        <v>132</v>
      </c>
      <c r="B135" s="28"/>
      <c r="C135" s="29"/>
      <c r="D135" s="27"/>
      <c r="E135" s="30"/>
      <c r="F135" s="30"/>
      <c r="G135" s="27"/>
      <c r="H135" s="31"/>
      <c r="I135" s="30"/>
      <c r="J135" s="30"/>
      <c r="K135" s="30"/>
      <c r="L135" s="31"/>
      <c r="M135" s="32"/>
      <c r="N135" s="29"/>
      <c r="O135" s="27"/>
      <c r="P135" s="28"/>
      <c r="Q135" s="31"/>
      <c r="R135" s="27"/>
      <c r="S135" s="33" t="str">
        <f t="shared" si="20"/>
        <v/>
      </c>
      <c r="T135" s="34" t="str">
        <f t="shared" si="21"/>
        <v/>
      </c>
      <c r="U135" s="34" t="str">
        <f t="shared" si="22"/>
        <v/>
      </c>
      <c r="V135" s="35" t="str">
        <f t="shared" si="23"/>
        <v/>
      </c>
      <c r="W135" s="33" t="str">
        <f t="shared" si="24"/>
        <v/>
      </c>
      <c r="X135" s="35" t="str">
        <f>IF(Q135="","",SUM($V$4:V135))</f>
        <v/>
      </c>
      <c r="Y135" s="35" t="str">
        <f>IF(X135="","",X135-MAX($X$4:X135))</f>
        <v/>
      </c>
      <c r="Z135" s="30"/>
    </row>
    <row r="136" spans="1:26" ht="15" customHeight="1">
      <c r="A136" s="27">
        <v>133</v>
      </c>
      <c r="B136" s="28"/>
      <c r="C136" s="29"/>
      <c r="D136" s="27"/>
      <c r="E136" s="30"/>
      <c r="F136" s="30"/>
      <c r="G136" s="27"/>
      <c r="H136" s="31"/>
      <c r="I136" s="30"/>
      <c r="J136" s="30"/>
      <c r="K136" s="30"/>
      <c r="L136" s="31"/>
      <c r="M136" s="32"/>
      <c r="N136" s="29"/>
      <c r="O136" s="27"/>
      <c r="P136" s="28"/>
      <c r="Q136" s="31"/>
      <c r="R136" s="27"/>
      <c r="S136" s="33" t="str">
        <f t="shared" si="20"/>
        <v/>
      </c>
      <c r="T136" s="34" t="str">
        <f t="shared" si="21"/>
        <v/>
      </c>
      <c r="U136" s="34" t="str">
        <f t="shared" si="22"/>
        <v/>
      </c>
      <c r="V136" s="35" t="str">
        <f t="shared" si="23"/>
        <v/>
      </c>
      <c r="W136" s="33" t="str">
        <f t="shared" si="24"/>
        <v/>
      </c>
      <c r="X136" s="35" t="str">
        <f>IF(Q136="","",SUM($V$4:V136))</f>
        <v/>
      </c>
      <c r="Y136" s="35" t="str">
        <f>IF(X136="","",X136-MAX($X$4:X136))</f>
        <v/>
      </c>
      <c r="Z136" s="30"/>
    </row>
    <row r="137" spans="1:26" ht="15" customHeight="1">
      <c r="A137" s="27">
        <v>134</v>
      </c>
      <c r="B137" s="28"/>
      <c r="C137" s="29"/>
      <c r="D137" s="27"/>
      <c r="E137" s="30"/>
      <c r="F137" s="30"/>
      <c r="G137" s="27"/>
      <c r="H137" s="31"/>
      <c r="I137" s="30"/>
      <c r="J137" s="30"/>
      <c r="K137" s="30"/>
      <c r="L137" s="31"/>
      <c r="M137" s="32"/>
      <c r="N137" s="29"/>
      <c r="O137" s="27"/>
      <c r="P137" s="28"/>
      <c r="Q137" s="31"/>
      <c r="R137" s="27"/>
      <c r="S137" s="33" t="str">
        <f t="shared" si="20"/>
        <v/>
      </c>
      <c r="T137" s="34" t="str">
        <f t="shared" si="21"/>
        <v/>
      </c>
      <c r="U137" s="34" t="str">
        <f t="shared" si="22"/>
        <v/>
      </c>
      <c r="V137" s="35" t="str">
        <f t="shared" si="23"/>
        <v/>
      </c>
      <c r="W137" s="33" t="str">
        <f t="shared" si="24"/>
        <v/>
      </c>
      <c r="X137" s="35" t="str">
        <f>IF(Q137="","",SUM($V$4:V137))</f>
        <v/>
      </c>
      <c r="Y137" s="35" t="str">
        <f>IF(X137="","",X137-MAX($X$4:X137))</f>
        <v/>
      </c>
      <c r="Z137" s="30"/>
    </row>
    <row r="138" spans="1:26" ht="15" customHeight="1">
      <c r="A138" s="27">
        <v>135</v>
      </c>
      <c r="B138" s="28"/>
      <c r="C138" s="29"/>
      <c r="D138" s="27"/>
      <c r="E138" s="30"/>
      <c r="F138" s="30"/>
      <c r="G138" s="27"/>
      <c r="H138" s="31"/>
      <c r="I138" s="30"/>
      <c r="J138" s="30"/>
      <c r="K138" s="30"/>
      <c r="L138" s="31"/>
      <c r="M138" s="32"/>
      <c r="N138" s="29"/>
      <c r="O138" s="27"/>
      <c r="P138" s="28"/>
      <c r="Q138" s="31"/>
      <c r="R138" s="27"/>
      <c r="S138" s="33" t="str">
        <f t="shared" si="20"/>
        <v/>
      </c>
      <c r="T138" s="34" t="str">
        <f t="shared" si="21"/>
        <v/>
      </c>
      <c r="U138" s="34" t="str">
        <f t="shared" si="22"/>
        <v/>
      </c>
      <c r="V138" s="35" t="str">
        <f t="shared" si="23"/>
        <v/>
      </c>
      <c r="W138" s="33" t="str">
        <f t="shared" si="24"/>
        <v/>
      </c>
      <c r="X138" s="35" t="str">
        <f>IF(Q138="","",SUM($V$4:V138))</f>
        <v/>
      </c>
      <c r="Y138" s="35" t="str">
        <f>IF(X138="","",X138-MAX($X$4:X138))</f>
        <v/>
      </c>
      <c r="Z138" s="30"/>
    </row>
    <row r="139" spans="1:26" ht="15" customHeight="1">
      <c r="A139" s="27">
        <v>136</v>
      </c>
      <c r="B139" s="28"/>
      <c r="C139" s="29"/>
      <c r="D139" s="27"/>
      <c r="E139" s="30"/>
      <c r="F139" s="30"/>
      <c r="G139" s="27"/>
      <c r="H139" s="31"/>
      <c r="I139" s="30"/>
      <c r="J139" s="30"/>
      <c r="K139" s="30"/>
      <c r="L139" s="31"/>
      <c r="M139" s="32"/>
      <c r="N139" s="29"/>
      <c r="O139" s="27"/>
      <c r="P139" s="28"/>
      <c r="Q139" s="31"/>
      <c r="R139" s="27"/>
      <c r="S139" s="33" t="str">
        <f t="shared" si="20"/>
        <v/>
      </c>
      <c r="T139" s="34" t="str">
        <f t="shared" si="21"/>
        <v/>
      </c>
      <c r="U139" s="34" t="str">
        <f t="shared" si="22"/>
        <v/>
      </c>
      <c r="V139" s="35" t="str">
        <f t="shared" si="23"/>
        <v/>
      </c>
      <c r="W139" s="33" t="str">
        <f t="shared" si="24"/>
        <v/>
      </c>
      <c r="X139" s="35" t="str">
        <f>IF(Q139="","",SUM($V$4:V139))</f>
        <v/>
      </c>
      <c r="Y139" s="35" t="str">
        <f>IF(X139="","",X139-MAX($X$4:X139))</f>
        <v/>
      </c>
      <c r="Z139" s="30"/>
    </row>
    <row r="140" spans="1:26" ht="15" customHeight="1">
      <c r="A140" s="27">
        <v>137</v>
      </c>
      <c r="B140" s="28"/>
      <c r="C140" s="29"/>
      <c r="D140" s="27"/>
      <c r="E140" s="30"/>
      <c r="F140" s="30"/>
      <c r="G140" s="27"/>
      <c r="H140" s="31"/>
      <c r="I140" s="30"/>
      <c r="J140" s="30"/>
      <c r="K140" s="30"/>
      <c r="L140" s="31"/>
      <c r="M140" s="32"/>
      <c r="N140" s="29"/>
      <c r="O140" s="27"/>
      <c r="P140" s="28"/>
      <c r="Q140" s="31"/>
      <c r="R140" s="27"/>
      <c r="S140" s="33" t="str">
        <f t="shared" si="20"/>
        <v/>
      </c>
      <c r="T140" s="34" t="str">
        <f t="shared" si="21"/>
        <v/>
      </c>
      <c r="U140" s="34" t="str">
        <f t="shared" si="22"/>
        <v/>
      </c>
      <c r="V140" s="35" t="str">
        <f t="shared" si="23"/>
        <v/>
      </c>
      <c r="W140" s="33" t="str">
        <f t="shared" si="24"/>
        <v/>
      </c>
      <c r="X140" s="35" t="str">
        <f>IF(Q140="","",SUM($V$4:V140))</f>
        <v/>
      </c>
      <c r="Y140" s="35" t="str">
        <f>IF(X140="","",X140-MAX($X$4:X140))</f>
        <v/>
      </c>
      <c r="Z140" s="30"/>
    </row>
    <row r="141" spans="1:26" ht="15" customHeight="1">
      <c r="A141" s="27">
        <v>138</v>
      </c>
      <c r="B141" s="28"/>
      <c r="C141" s="29"/>
      <c r="D141" s="27"/>
      <c r="E141" s="30"/>
      <c r="F141" s="30"/>
      <c r="G141" s="27"/>
      <c r="H141" s="31"/>
      <c r="I141" s="30"/>
      <c r="J141" s="30"/>
      <c r="K141" s="30"/>
      <c r="L141" s="31"/>
      <c r="M141" s="32"/>
      <c r="N141" s="29"/>
      <c r="O141" s="27"/>
      <c r="P141" s="28"/>
      <c r="Q141" s="31"/>
      <c r="R141" s="27"/>
      <c r="S141" s="33" t="str">
        <f t="shared" si="20"/>
        <v/>
      </c>
      <c r="T141" s="34" t="str">
        <f t="shared" si="21"/>
        <v/>
      </c>
      <c r="U141" s="34" t="str">
        <f t="shared" si="22"/>
        <v/>
      </c>
      <c r="V141" s="35" t="str">
        <f t="shared" si="23"/>
        <v/>
      </c>
      <c r="W141" s="33" t="str">
        <f t="shared" si="24"/>
        <v/>
      </c>
      <c r="X141" s="35" t="str">
        <f>IF(Q141="","",SUM($V$4:V141))</f>
        <v/>
      </c>
      <c r="Y141" s="35" t="str">
        <f>IF(X141="","",X141-MAX($X$4:X141))</f>
        <v/>
      </c>
      <c r="Z141" s="30"/>
    </row>
    <row r="142" spans="1:26" ht="15" customHeight="1">
      <c r="A142" s="27">
        <v>139</v>
      </c>
      <c r="B142" s="28"/>
      <c r="C142" s="29"/>
      <c r="D142" s="27"/>
      <c r="E142" s="30"/>
      <c r="F142" s="30"/>
      <c r="G142" s="27"/>
      <c r="H142" s="31"/>
      <c r="I142" s="30"/>
      <c r="J142" s="30"/>
      <c r="K142" s="30"/>
      <c r="L142" s="31"/>
      <c r="M142" s="32"/>
      <c r="N142" s="29"/>
      <c r="O142" s="27"/>
      <c r="P142" s="28"/>
      <c r="Q142" s="31"/>
      <c r="R142" s="27"/>
      <c r="S142" s="33" t="str">
        <f t="shared" si="20"/>
        <v/>
      </c>
      <c r="T142" s="34" t="str">
        <f t="shared" si="21"/>
        <v/>
      </c>
      <c r="U142" s="34" t="str">
        <f t="shared" si="22"/>
        <v/>
      </c>
      <c r="V142" s="35" t="str">
        <f t="shared" si="23"/>
        <v/>
      </c>
      <c r="W142" s="33" t="str">
        <f t="shared" si="24"/>
        <v/>
      </c>
      <c r="X142" s="35" t="str">
        <f>IF(Q142="","",SUM($V$4:V142))</f>
        <v/>
      </c>
      <c r="Y142" s="35" t="str">
        <f>IF(X142="","",X142-MAX($X$4:X142))</f>
        <v/>
      </c>
      <c r="Z142" s="30"/>
    </row>
    <row r="143" spans="1:26" ht="15" customHeight="1">
      <c r="A143" s="27">
        <v>140</v>
      </c>
      <c r="B143" s="28"/>
      <c r="C143" s="29"/>
      <c r="D143" s="27"/>
      <c r="E143" s="30"/>
      <c r="F143" s="30"/>
      <c r="G143" s="27"/>
      <c r="H143" s="31"/>
      <c r="I143" s="30"/>
      <c r="J143" s="30"/>
      <c r="K143" s="30"/>
      <c r="L143" s="31"/>
      <c r="M143" s="32"/>
      <c r="N143" s="29"/>
      <c r="O143" s="27"/>
      <c r="P143" s="28"/>
      <c r="Q143" s="31"/>
      <c r="R143" s="27"/>
      <c r="S143" s="33" t="str">
        <f t="shared" si="20"/>
        <v/>
      </c>
      <c r="T143" s="34" t="str">
        <f t="shared" si="21"/>
        <v/>
      </c>
      <c r="U143" s="34" t="str">
        <f t="shared" si="22"/>
        <v/>
      </c>
      <c r="V143" s="35" t="str">
        <f t="shared" si="23"/>
        <v/>
      </c>
      <c r="W143" s="33" t="str">
        <f t="shared" si="24"/>
        <v/>
      </c>
      <c r="X143" s="35" t="str">
        <f>IF(Q143="","",SUM($V$4:V143))</f>
        <v/>
      </c>
      <c r="Y143" s="35" t="str">
        <f>IF(X143="","",X143-MAX($X$4:X143))</f>
        <v/>
      </c>
      <c r="Z143" s="30"/>
    </row>
    <row r="144" spans="1:26" ht="15" customHeight="1">
      <c r="A144" s="27">
        <v>141</v>
      </c>
      <c r="B144" s="28"/>
      <c r="C144" s="29"/>
      <c r="D144" s="27"/>
      <c r="E144" s="30"/>
      <c r="F144" s="30"/>
      <c r="G144" s="27"/>
      <c r="H144" s="31"/>
      <c r="I144" s="30"/>
      <c r="J144" s="30"/>
      <c r="K144" s="30"/>
      <c r="L144" s="31"/>
      <c r="M144" s="32"/>
      <c r="N144" s="29"/>
      <c r="O144" s="27"/>
      <c r="P144" s="28"/>
      <c r="Q144" s="31"/>
      <c r="R144" s="27"/>
      <c r="S144" s="33" t="str">
        <f t="shared" si="20"/>
        <v/>
      </c>
      <c r="T144" s="34" t="str">
        <f t="shared" si="21"/>
        <v/>
      </c>
      <c r="U144" s="34" t="str">
        <f t="shared" si="22"/>
        <v/>
      </c>
      <c r="V144" s="35" t="str">
        <f t="shared" si="23"/>
        <v/>
      </c>
      <c r="W144" s="33" t="str">
        <f t="shared" si="24"/>
        <v/>
      </c>
      <c r="X144" s="35" t="str">
        <f>IF(Q144="","",SUM($V$4:V144))</f>
        <v/>
      </c>
      <c r="Y144" s="35" t="str">
        <f>IF(X144="","",X144-MAX($X$4:X144))</f>
        <v/>
      </c>
      <c r="Z144" s="30"/>
    </row>
    <row r="145" spans="1:26" ht="15" customHeight="1">
      <c r="A145" s="27">
        <v>142</v>
      </c>
      <c r="B145" s="28"/>
      <c r="C145" s="29"/>
      <c r="D145" s="27"/>
      <c r="E145" s="30"/>
      <c r="F145" s="30"/>
      <c r="G145" s="27"/>
      <c r="H145" s="31"/>
      <c r="I145" s="30"/>
      <c r="J145" s="30"/>
      <c r="K145" s="30"/>
      <c r="L145" s="31"/>
      <c r="M145" s="32"/>
      <c r="N145" s="29"/>
      <c r="O145" s="27"/>
      <c r="P145" s="28"/>
      <c r="Q145" s="31"/>
      <c r="R145" s="27"/>
      <c r="S145" s="33" t="str">
        <f t="shared" si="20"/>
        <v/>
      </c>
      <c r="T145" s="34" t="str">
        <f t="shared" si="21"/>
        <v/>
      </c>
      <c r="U145" s="34" t="str">
        <f t="shared" si="22"/>
        <v/>
      </c>
      <c r="V145" s="35" t="str">
        <f t="shared" si="23"/>
        <v/>
      </c>
      <c r="W145" s="33" t="str">
        <f t="shared" si="24"/>
        <v/>
      </c>
      <c r="X145" s="35" t="str">
        <f>IF(Q145="","",SUM($V$4:V145))</f>
        <v/>
      </c>
      <c r="Y145" s="35" t="str">
        <f>IF(X145="","",X145-MAX($X$4:X145))</f>
        <v/>
      </c>
      <c r="Z145" s="30"/>
    </row>
    <row r="146" spans="1:26" ht="15" customHeight="1">
      <c r="A146" s="27">
        <v>143</v>
      </c>
      <c r="B146" s="28"/>
      <c r="C146" s="29"/>
      <c r="D146" s="27"/>
      <c r="E146" s="30"/>
      <c r="F146" s="30"/>
      <c r="G146" s="27"/>
      <c r="H146" s="31"/>
      <c r="I146" s="30"/>
      <c r="J146" s="30"/>
      <c r="K146" s="30"/>
      <c r="L146" s="31"/>
      <c r="M146" s="32"/>
      <c r="N146" s="29"/>
      <c r="O146" s="27"/>
      <c r="P146" s="28"/>
      <c r="Q146" s="31"/>
      <c r="R146" s="27"/>
      <c r="S146" s="33" t="str">
        <f t="shared" si="20"/>
        <v/>
      </c>
      <c r="T146" s="34" t="str">
        <f t="shared" si="21"/>
        <v/>
      </c>
      <c r="U146" s="34" t="str">
        <f t="shared" si="22"/>
        <v/>
      </c>
      <c r="V146" s="35" t="str">
        <f t="shared" si="23"/>
        <v/>
      </c>
      <c r="W146" s="33" t="str">
        <f t="shared" si="24"/>
        <v/>
      </c>
      <c r="X146" s="35" t="str">
        <f>IF(Q146="","",SUM($V$4:V146))</f>
        <v/>
      </c>
      <c r="Y146" s="35" t="str">
        <f>IF(X146="","",X146-MAX($X$4:X146))</f>
        <v/>
      </c>
      <c r="Z146" s="30"/>
    </row>
    <row r="147" spans="1:26" ht="15" customHeight="1">
      <c r="A147" s="27">
        <v>144</v>
      </c>
      <c r="B147" s="28"/>
      <c r="C147" s="29"/>
      <c r="D147" s="27"/>
      <c r="E147" s="30"/>
      <c r="F147" s="30"/>
      <c r="G147" s="27"/>
      <c r="H147" s="31"/>
      <c r="I147" s="30"/>
      <c r="J147" s="30"/>
      <c r="K147" s="30"/>
      <c r="L147" s="31"/>
      <c r="M147" s="32"/>
      <c r="N147" s="29"/>
      <c r="O147" s="27"/>
      <c r="P147" s="28"/>
      <c r="Q147" s="31"/>
      <c r="R147" s="27"/>
      <c r="S147" s="33" t="str">
        <f t="shared" si="20"/>
        <v/>
      </c>
      <c r="T147" s="34" t="str">
        <f t="shared" si="21"/>
        <v/>
      </c>
      <c r="U147" s="34" t="str">
        <f t="shared" si="22"/>
        <v/>
      </c>
      <c r="V147" s="35" t="str">
        <f t="shared" si="23"/>
        <v/>
      </c>
      <c r="W147" s="33" t="str">
        <f t="shared" si="24"/>
        <v/>
      </c>
      <c r="X147" s="35" t="str">
        <f>IF(Q147="","",SUM($V$4:V147))</f>
        <v/>
      </c>
      <c r="Y147" s="35" t="str">
        <f>IF(X147="","",X147-MAX($X$4:X147))</f>
        <v/>
      </c>
      <c r="Z147" s="30"/>
    </row>
    <row r="148" spans="1:26" ht="15" customHeight="1">
      <c r="A148" s="27">
        <v>145</v>
      </c>
      <c r="B148" s="28"/>
      <c r="C148" s="29"/>
      <c r="D148" s="27"/>
      <c r="E148" s="30"/>
      <c r="F148" s="30"/>
      <c r="G148" s="27"/>
      <c r="H148" s="31"/>
      <c r="I148" s="30"/>
      <c r="J148" s="30"/>
      <c r="K148" s="30"/>
      <c r="L148" s="31"/>
      <c r="M148" s="32"/>
      <c r="N148" s="29"/>
      <c r="O148" s="27"/>
      <c r="P148" s="28"/>
      <c r="Q148" s="31"/>
      <c r="R148" s="27"/>
      <c r="S148" s="33" t="str">
        <f t="shared" si="20"/>
        <v/>
      </c>
      <c r="T148" s="34" t="str">
        <f t="shared" si="21"/>
        <v/>
      </c>
      <c r="U148" s="34" t="str">
        <f t="shared" si="22"/>
        <v/>
      </c>
      <c r="V148" s="35" t="str">
        <f t="shared" si="23"/>
        <v/>
      </c>
      <c r="W148" s="33" t="str">
        <f t="shared" si="24"/>
        <v/>
      </c>
      <c r="X148" s="35" t="str">
        <f>IF(Q148="","",SUM($V$4:V148))</f>
        <v/>
      </c>
      <c r="Y148" s="35" t="str">
        <f>IF(X148="","",X148-MAX($X$4:X148))</f>
        <v/>
      </c>
      <c r="Z148" s="30"/>
    </row>
    <row r="149" spans="1:26" ht="15" customHeight="1">
      <c r="A149" s="27">
        <v>146</v>
      </c>
      <c r="B149" s="28"/>
      <c r="C149" s="29"/>
      <c r="D149" s="27"/>
      <c r="E149" s="30"/>
      <c r="F149" s="30"/>
      <c r="G149" s="27"/>
      <c r="H149" s="31"/>
      <c r="I149" s="30"/>
      <c r="J149" s="30"/>
      <c r="K149" s="30"/>
      <c r="L149" s="31"/>
      <c r="M149" s="32"/>
      <c r="N149" s="29"/>
      <c r="O149" s="27"/>
      <c r="P149" s="28"/>
      <c r="Q149" s="31"/>
      <c r="R149" s="27"/>
      <c r="S149" s="33" t="str">
        <f t="shared" si="20"/>
        <v/>
      </c>
      <c r="T149" s="34" t="str">
        <f t="shared" si="21"/>
        <v/>
      </c>
      <c r="U149" s="34" t="str">
        <f t="shared" si="22"/>
        <v/>
      </c>
      <c r="V149" s="35" t="str">
        <f t="shared" si="23"/>
        <v/>
      </c>
      <c r="W149" s="33" t="str">
        <f t="shared" si="24"/>
        <v/>
      </c>
      <c r="X149" s="35" t="str">
        <f>IF(Q149="","",SUM($V$4:V149))</f>
        <v/>
      </c>
      <c r="Y149" s="35" t="str">
        <f>IF(X149="","",X149-MAX($X$4:X149))</f>
        <v/>
      </c>
      <c r="Z149" s="30"/>
    </row>
    <row r="150" spans="1:26" ht="15" customHeight="1">
      <c r="A150" s="27">
        <v>147</v>
      </c>
      <c r="B150" s="28"/>
      <c r="C150" s="29"/>
      <c r="D150" s="27"/>
      <c r="E150" s="30"/>
      <c r="F150" s="30"/>
      <c r="G150" s="27"/>
      <c r="H150" s="31"/>
      <c r="I150" s="30"/>
      <c r="J150" s="30"/>
      <c r="K150" s="30"/>
      <c r="L150" s="31"/>
      <c r="M150" s="32"/>
      <c r="N150" s="29"/>
      <c r="O150" s="27"/>
      <c r="P150" s="28"/>
      <c r="Q150" s="31"/>
      <c r="R150" s="27"/>
      <c r="S150" s="33" t="str">
        <f t="shared" si="20"/>
        <v/>
      </c>
      <c r="T150" s="34" t="str">
        <f t="shared" si="21"/>
        <v/>
      </c>
      <c r="U150" s="34" t="str">
        <f t="shared" si="22"/>
        <v/>
      </c>
      <c r="V150" s="35" t="str">
        <f t="shared" si="23"/>
        <v/>
      </c>
      <c r="W150" s="33" t="str">
        <f t="shared" si="24"/>
        <v/>
      </c>
      <c r="X150" s="35" t="str">
        <f>IF(Q150="","",SUM($V$4:V150))</f>
        <v/>
      </c>
      <c r="Y150" s="35" t="str">
        <f>IF(X150="","",X150-MAX($X$4:X150))</f>
        <v/>
      </c>
      <c r="Z150" s="30"/>
    </row>
    <row r="151" spans="1:26" ht="15" customHeight="1">
      <c r="A151" s="27">
        <v>148</v>
      </c>
      <c r="B151" s="28"/>
      <c r="C151" s="29"/>
      <c r="D151" s="27"/>
      <c r="E151" s="30"/>
      <c r="F151" s="30"/>
      <c r="G151" s="27"/>
      <c r="H151" s="31"/>
      <c r="I151" s="30"/>
      <c r="J151" s="30"/>
      <c r="K151" s="30"/>
      <c r="L151" s="31"/>
      <c r="M151" s="32"/>
      <c r="N151" s="29"/>
      <c r="O151" s="27"/>
      <c r="P151" s="28"/>
      <c r="Q151" s="31"/>
      <c r="R151" s="27"/>
      <c r="S151" s="33" t="str">
        <f t="shared" si="20"/>
        <v/>
      </c>
      <c r="T151" s="34" t="str">
        <f t="shared" si="21"/>
        <v/>
      </c>
      <c r="U151" s="34" t="str">
        <f t="shared" si="22"/>
        <v/>
      </c>
      <c r="V151" s="35" t="str">
        <f t="shared" si="23"/>
        <v/>
      </c>
      <c r="W151" s="33" t="str">
        <f t="shared" si="24"/>
        <v/>
      </c>
      <c r="X151" s="35" t="str">
        <f>IF(Q151="","",SUM($V$4:V151))</f>
        <v/>
      </c>
      <c r="Y151" s="35" t="str">
        <f>IF(X151="","",X151-MAX($X$4:X151))</f>
        <v/>
      </c>
      <c r="Z151" s="30"/>
    </row>
    <row r="152" spans="1:26" ht="15" customHeight="1">
      <c r="A152" s="27">
        <v>149</v>
      </c>
      <c r="B152" s="28"/>
      <c r="C152" s="29"/>
      <c r="D152" s="27"/>
      <c r="E152" s="30"/>
      <c r="F152" s="30"/>
      <c r="G152" s="27"/>
      <c r="H152" s="31"/>
      <c r="I152" s="30"/>
      <c r="J152" s="30"/>
      <c r="K152" s="30"/>
      <c r="L152" s="31"/>
      <c r="M152" s="32"/>
      <c r="N152" s="29"/>
      <c r="O152" s="27"/>
      <c r="P152" s="28"/>
      <c r="Q152" s="31"/>
      <c r="R152" s="27"/>
      <c r="S152" s="33" t="str">
        <f t="shared" si="20"/>
        <v/>
      </c>
      <c r="T152" s="34" t="str">
        <f t="shared" si="21"/>
        <v/>
      </c>
      <c r="U152" s="34" t="str">
        <f t="shared" si="22"/>
        <v/>
      </c>
      <c r="V152" s="35" t="str">
        <f t="shared" si="23"/>
        <v/>
      </c>
      <c r="W152" s="33" t="str">
        <f t="shared" si="24"/>
        <v/>
      </c>
      <c r="X152" s="35" t="str">
        <f>IF(Q152="","",SUM($V$4:V152))</f>
        <v/>
      </c>
      <c r="Y152" s="35" t="str">
        <f>IF(X152="","",X152-MAX($X$4:X152))</f>
        <v/>
      </c>
      <c r="Z152" s="30"/>
    </row>
    <row r="153" spans="1:26" ht="15" customHeight="1">
      <c r="A153" s="27">
        <v>150</v>
      </c>
      <c r="B153" s="28"/>
      <c r="C153" s="29"/>
      <c r="D153" s="27"/>
      <c r="E153" s="30"/>
      <c r="F153" s="30"/>
      <c r="G153" s="27"/>
      <c r="H153" s="31"/>
      <c r="I153" s="30"/>
      <c r="J153" s="30"/>
      <c r="K153" s="30"/>
      <c r="L153" s="31"/>
      <c r="M153" s="32"/>
      <c r="N153" s="29"/>
      <c r="O153" s="27"/>
      <c r="P153" s="28"/>
      <c r="Q153" s="31"/>
      <c r="R153" s="27"/>
      <c r="S153" s="33" t="str">
        <f t="shared" si="20"/>
        <v/>
      </c>
      <c r="T153" s="34" t="str">
        <f t="shared" si="21"/>
        <v/>
      </c>
      <c r="U153" s="34" t="str">
        <f t="shared" si="22"/>
        <v/>
      </c>
      <c r="V153" s="35" t="str">
        <f t="shared" si="23"/>
        <v/>
      </c>
      <c r="W153" s="33" t="str">
        <f t="shared" si="24"/>
        <v/>
      </c>
      <c r="X153" s="35" t="str">
        <f>IF(Q153="","",SUM($V$4:V153))</f>
        <v/>
      </c>
      <c r="Y153" s="35" t="str">
        <f>IF(X153="","",X153-MAX($X$4:X153))</f>
        <v/>
      </c>
      <c r="Z153" s="30"/>
    </row>
    <row r="154" spans="1:26" ht="15" customHeight="1">
      <c r="A154" s="27">
        <v>151</v>
      </c>
      <c r="B154" s="28"/>
      <c r="C154" s="29"/>
      <c r="D154" s="27"/>
      <c r="E154" s="30"/>
      <c r="F154" s="30"/>
      <c r="G154" s="27"/>
      <c r="H154" s="31"/>
      <c r="I154" s="30"/>
      <c r="J154" s="30"/>
      <c r="K154" s="30"/>
      <c r="L154" s="31"/>
      <c r="M154" s="32"/>
      <c r="N154" s="29"/>
      <c r="O154" s="27"/>
      <c r="P154" s="28"/>
      <c r="Q154" s="31"/>
      <c r="R154" s="27"/>
      <c r="S154" s="33" t="str">
        <f t="shared" si="20"/>
        <v/>
      </c>
      <c r="T154" s="34" t="str">
        <f t="shared" si="21"/>
        <v/>
      </c>
      <c r="U154" s="34" t="str">
        <f t="shared" si="22"/>
        <v/>
      </c>
      <c r="V154" s="35" t="str">
        <f t="shared" si="23"/>
        <v/>
      </c>
      <c r="W154" s="33" t="str">
        <f t="shared" si="24"/>
        <v/>
      </c>
      <c r="X154" s="35" t="str">
        <f>IF(Q154="","",SUM($V$4:V154))</f>
        <v/>
      </c>
      <c r="Y154" s="35" t="str">
        <f>IF(X154="","",X154-MAX($X$4:X154))</f>
        <v/>
      </c>
      <c r="Z154" s="30"/>
    </row>
    <row r="155" spans="1:26" ht="15" customHeight="1">
      <c r="A155" s="27">
        <v>152</v>
      </c>
      <c r="B155" s="28"/>
      <c r="C155" s="29"/>
      <c r="D155" s="27"/>
      <c r="E155" s="30"/>
      <c r="F155" s="30"/>
      <c r="G155" s="27"/>
      <c r="H155" s="31"/>
      <c r="I155" s="30"/>
      <c r="J155" s="30"/>
      <c r="K155" s="30"/>
      <c r="L155" s="31"/>
      <c r="M155" s="32"/>
      <c r="N155" s="29"/>
      <c r="O155" s="27"/>
      <c r="P155" s="28"/>
      <c r="Q155" s="31"/>
      <c r="R155" s="27"/>
      <c r="S155" s="33" t="str">
        <f t="shared" si="20"/>
        <v/>
      </c>
      <c r="T155" s="34" t="str">
        <f t="shared" si="21"/>
        <v/>
      </c>
      <c r="U155" s="34" t="str">
        <f t="shared" si="22"/>
        <v/>
      </c>
      <c r="V155" s="35" t="str">
        <f t="shared" si="23"/>
        <v/>
      </c>
      <c r="W155" s="33" t="str">
        <f t="shared" si="24"/>
        <v/>
      </c>
      <c r="X155" s="35" t="str">
        <f>IF(Q155="","",SUM($V$4:V155))</f>
        <v/>
      </c>
      <c r="Y155" s="35" t="str">
        <f>IF(X155="","",X155-MAX($X$4:X155))</f>
        <v/>
      </c>
      <c r="Z155" s="30"/>
    </row>
    <row r="156" spans="1:26" ht="15" customHeight="1">
      <c r="A156" s="27">
        <v>153</v>
      </c>
      <c r="B156" s="28"/>
      <c r="C156" s="29"/>
      <c r="D156" s="27"/>
      <c r="E156" s="30"/>
      <c r="F156" s="30"/>
      <c r="G156" s="27"/>
      <c r="H156" s="31"/>
      <c r="I156" s="30"/>
      <c r="J156" s="30"/>
      <c r="K156" s="30"/>
      <c r="L156" s="31"/>
      <c r="M156" s="32"/>
      <c r="N156" s="29"/>
      <c r="O156" s="27"/>
      <c r="P156" s="28"/>
      <c r="Q156" s="31"/>
      <c r="R156" s="27"/>
      <c r="S156" s="33" t="str">
        <f t="shared" si="20"/>
        <v/>
      </c>
      <c r="T156" s="34" t="str">
        <f t="shared" si="21"/>
        <v/>
      </c>
      <c r="U156" s="34" t="str">
        <f t="shared" si="22"/>
        <v/>
      </c>
      <c r="V156" s="35" t="str">
        <f t="shared" si="23"/>
        <v/>
      </c>
      <c r="W156" s="33" t="str">
        <f t="shared" si="24"/>
        <v/>
      </c>
      <c r="X156" s="35" t="str">
        <f>IF(Q156="","",SUM($V$4:V156))</f>
        <v/>
      </c>
      <c r="Y156" s="35" t="str">
        <f>IF(X156="","",X156-MAX($X$4:X156))</f>
        <v/>
      </c>
      <c r="Z156" s="30"/>
    </row>
    <row r="157" spans="1:26" ht="15" customHeight="1">
      <c r="A157" s="27">
        <v>154</v>
      </c>
      <c r="B157" s="28"/>
      <c r="C157" s="29"/>
      <c r="D157" s="27"/>
      <c r="E157" s="30"/>
      <c r="F157" s="30"/>
      <c r="G157" s="27"/>
      <c r="H157" s="31"/>
      <c r="I157" s="30"/>
      <c r="J157" s="30"/>
      <c r="K157" s="30"/>
      <c r="L157" s="31"/>
      <c r="M157" s="32"/>
      <c r="N157" s="29"/>
      <c r="O157" s="27"/>
      <c r="P157" s="28"/>
      <c r="Q157" s="31"/>
      <c r="R157" s="27"/>
      <c r="S157" s="33" t="str">
        <f t="shared" si="20"/>
        <v/>
      </c>
      <c r="T157" s="34" t="str">
        <f t="shared" si="21"/>
        <v/>
      </c>
      <c r="U157" s="34" t="str">
        <f t="shared" si="22"/>
        <v/>
      </c>
      <c r="V157" s="35" t="str">
        <f t="shared" si="23"/>
        <v/>
      </c>
      <c r="W157" s="33" t="str">
        <f t="shared" si="24"/>
        <v/>
      </c>
      <c r="X157" s="35" t="str">
        <f>IF(Q157="","",SUM($V$4:V157))</f>
        <v/>
      </c>
      <c r="Y157" s="35" t="str">
        <f>IF(X157="","",X157-MAX($X$4:X157))</f>
        <v/>
      </c>
      <c r="Z157" s="30"/>
    </row>
    <row r="158" spans="1:26" ht="15" customHeight="1">
      <c r="A158" s="27">
        <v>155</v>
      </c>
      <c r="B158" s="28"/>
      <c r="C158" s="29"/>
      <c r="D158" s="27"/>
      <c r="E158" s="30"/>
      <c r="F158" s="30"/>
      <c r="G158" s="27"/>
      <c r="H158" s="31"/>
      <c r="I158" s="30"/>
      <c r="J158" s="30"/>
      <c r="K158" s="30"/>
      <c r="L158" s="31"/>
      <c r="M158" s="32"/>
      <c r="N158" s="29"/>
      <c r="O158" s="27"/>
      <c r="P158" s="28"/>
      <c r="Q158" s="31"/>
      <c r="R158" s="27"/>
      <c r="S158" s="33" t="str">
        <f t="shared" si="20"/>
        <v/>
      </c>
      <c r="T158" s="34" t="str">
        <f t="shared" si="21"/>
        <v/>
      </c>
      <c r="U158" s="34" t="str">
        <f t="shared" si="22"/>
        <v/>
      </c>
      <c r="V158" s="35" t="str">
        <f t="shared" si="23"/>
        <v/>
      </c>
      <c r="W158" s="33" t="str">
        <f t="shared" si="24"/>
        <v/>
      </c>
      <c r="X158" s="35" t="str">
        <f>IF(Q158="","",SUM($V$4:V158))</f>
        <v/>
      </c>
      <c r="Y158" s="35" t="str">
        <f>IF(X158="","",X158-MAX($X$4:X158))</f>
        <v/>
      </c>
      <c r="Z158" s="30"/>
    </row>
    <row r="159" spans="1:26" ht="15" customHeight="1">
      <c r="A159" s="27">
        <v>156</v>
      </c>
      <c r="B159" s="28"/>
      <c r="C159" s="29"/>
      <c r="D159" s="27"/>
      <c r="E159" s="30"/>
      <c r="F159" s="30"/>
      <c r="G159" s="27"/>
      <c r="H159" s="31"/>
      <c r="I159" s="30"/>
      <c r="J159" s="30"/>
      <c r="K159" s="30"/>
      <c r="L159" s="31"/>
      <c r="M159" s="32"/>
      <c r="N159" s="29"/>
      <c r="O159" s="27"/>
      <c r="P159" s="28"/>
      <c r="Q159" s="31"/>
      <c r="R159" s="27"/>
      <c r="S159" s="33" t="str">
        <f t="shared" si="20"/>
        <v/>
      </c>
      <c r="T159" s="34" t="str">
        <f t="shared" si="21"/>
        <v/>
      </c>
      <c r="U159" s="34" t="str">
        <f t="shared" si="22"/>
        <v/>
      </c>
      <c r="V159" s="35" t="str">
        <f t="shared" si="23"/>
        <v/>
      </c>
      <c r="W159" s="33" t="str">
        <f t="shared" si="24"/>
        <v/>
      </c>
      <c r="X159" s="35" t="str">
        <f>IF(Q159="","",SUM($V$4:V159))</f>
        <v/>
      </c>
      <c r="Y159" s="35" t="str">
        <f>IF(X159="","",X159-MAX($X$4:X159))</f>
        <v/>
      </c>
      <c r="Z159" s="30"/>
    </row>
    <row r="160" spans="1:26" ht="15" customHeight="1">
      <c r="A160" s="27">
        <v>157</v>
      </c>
      <c r="B160" s="28"/>
      <c r="C160" s="29"/>
      <c r="D160" s="27"/>
      <c r="E160" s="30"/>
      <c r="F160" s="30"/>
      <c r="G160" s="27"/>
      <c r="H160" s="31"/>
      <c r="I160" s="30"/>
      <c r="J160" s="30"/>
      <c r="K160" s="30"/>
      <c r="L160" s="31"/>
      <c r="M160" s="32"/>
      <c r="N160" s="29"/>
      <c r="O160" s="27"/>
      <c r="P160" s="28"/>
      <c r="Q160" s="31"/>
      <c r="R160" s="27"/>
      <c r="S160" s="33" t="str">
        <f t="shared" si="20"/>
        <v/>
      </c>
      <c r="T160" s="34" t="str">
        <f t="shared" si="21"/>
        <v/>
      </c>
      <c r="U160" s="34" t="str">
        <f t="shared" si="22"/>
        <v/>
      </c>
      <c r="V160" s="35" t="str">
        <f t="shared" si="23"/>
        <v/>
      </c>
      <c r="W160" s="33" t="str">
        <f t="shared" si="24"/>
        <v/>
      </c>
      <c r="X160" s="35" t="str">
        <f>IF(Q160="","",SUM($V$4:V160))</f>
        <v/>
      </c>
      <c r="Y160" s="35" t="str">
        <f>IF(X160="","",X160-MAX($X$4:X160))</f>
        <v/>
      </c>
      <c r="Z160" s="30"/>
    </row>
    <row r="161" spans="1:26" ht="15" customHeight="1">
      <c r="A161" s="27">
        <v>158</v>
      </c>
      <c r="B161" s="28"/>
      <c r="C161" s="29"/>
      <c r="D161" s="27"/>
      <c r="E161" s="30"/>
      <c r="F161" s="30"/>
      <c r="G161" s="27"/>
      <c r="H161" s="31"/>
      <c r="I161" s="30"/>
      <c r="J161" s="30"/>
      <c r="K161" s="30"/>
      <c r="L161" s="31"/>
      <c r="M161" s="32"/>
      <c r="N161" s="29"/>
      <c r="O161" s="27"/>
      <c r="P161" s="28"/>
      <c r="Q161" s="31"/>
      <c r="R161" s="27"/>
      <c r="S161" s="33" t="str">
        <f t="shared" si="20"/>
        <v/>
      </c>
      <c r="T161" s="34" t="str">
        <f t="shared" si="21"/>
        <v/>
      </c>
      <c r="U161" s="34" t="str">
        <f t="shared" si="22"/>
        <v/>
      </c>
      <c r="V161" s="35" t="str">
        <f t="shared" si="23"/>
        <v/>
      </c>
      <c r="W161" s="33" t="str">
        <f t="shared" si="24"/>
        <v/>
      </c>
      <c r="X161" s="35" t="str">
        <f>IF(Q161="","",SUM($V$4:V161))</f>
        <v/>
      </c>
      <c r="Y161" s="35" t="str">
        <f>IF(X161="","",X161-MAX($X$4:X161))</f>
        <v/>
      </c>
      <c r="Z161" s="30"/>
    </row>
    <row r="162" spans="1:26" ht="15" customHeight="1">
      <c r="A162" s="27">
        <v>159</v>
      </c>
      <c r="B162" s="28"/>
      <c r="C162" s="29"/>
      <c r="D162" s="27"/>
      <c r="E162" s="30"/>
      <c r="F162" s="30"/>
      <c r="G162" s="27"/>
      <c r="H162" s="31"/>
      <c r="I162" s="30"/>
      <c r="J162" s="30"/>
      <c r="K162" s="30"/>
      <c r="L162" s="31"/>
      <c r="M162" s="32"/>
      <c r="N162" s="29"/>
      <c r="O162" s="27"/>
      <c r="P162" s="28"/>
      <c r="Q162" s="31"/>
      <c r="R162" s="27"/>
      <c r="S162" s="33" t="str">
        <f t="shared" si="20"/>
        <v/>
      </c>
      <c r="T162" s="34" t="str">
        <f t="shared" si="21"/>
        <v/>
      </c>
      <c r="U162" s="34" t="str">
        <f t="shared" si="22"/>
        <v/>
      </c>
      <c r="V162" s="35" t="str">
        <f t="shared" si="23"/>
        <v/>
      </c>
      <c r="W162" s="33" t="str">
        <f t="shared" si="24"/>
        <v/>
      </c>
      <c r="X162" s="35" t="str">
        <f>IF(Q162="","",SUM($V$4:V162))</f>
        <v/>
      </c>
      <c r="Y162" s="35" t="str">
        <f>IF(X162="","",X162-MAX($X$4:X162))</f>
        <v/>
      </c>
      <c r="Z162" s="30"/>
    </row>
    <row r="163" spans="1:26" ht="15" customHeight="1">
      <c r="A163" s="27">
        <v>160</v>
      </c>
      <c r="B163" s="28"/>
      <c r="C163" s="29"/>
      <c r="D163" s="27"/>
      <c r="E163" s="30"/>
      <c r="F163" s="30"/>
      <c r="G163" s="27"/>
      <c r="H163" s="31"/>
      <c r="I163" s="30"/>
      <c r="J163" s="30"/>
      <c r="K163" s="30"/>
      <c r="L163" s="31"/>
      <c r="M163" s="32"/>
      <c r="N163" s="29"/>
      <c r="O163" s="27"/>
      <c r="P163" s="28"/>
      <c r="Q163" s="31"/>
      <c r="R163" s="27"/>
      <c r="S163" s="33" t="str">
        <f t="shared" si="20"/>
        <v/>
      </c>
      <c r="T163" s="34" t="str">
        <f t="shared" si="21"/>
        <v/>
      </c>
      <c r="U163" s="34" t="str">
        <f t="shared" si="22"/>
        <v/>
      </c>
      <c r="V163" s="35" t="str">
        <f t="shared" si="23"/>
        <v/>
      </c>
      <c r="W163" s="33" t="str">
        <f t="shared" si="24"/>
        <v/>
      </c>
      <c r="X163" s="35" t="str">
        <f>IF(Q163="","",SUM($V$4:V163))</f>
        <v/>
      </c>
      <c r="Y163" s="35" t="str">
        <f>IF(X163="","",X163-MAX($X$4:X163))</f>
        <v/>
      </c>
      <c r="Z163" s="30"/>
    </row>
    <row r="164" spans="1:26" ht="15" customHeight="1">
      <c r="A164" s="27">
        <v>161</v>
      </c>
      <c r="B164" s="28"/>
      <c r="C164" s="29"/>
      <c r="D164" s="27"/>
      <c r="E164" s="30"/>
      <c r="F164" s="30"/>
      <c r="G164" s="27"/>
      <c r="H164" s="31"/>
      <c r="I164" s="30"/>
      <c r="J164" s="30"/>
      <c r="K164" s="30"/>
      <c r="L164" s="31"/>
      <c r="M164" s="32"/>
      <c r="N164" s="29"/>
      <c r="O164" s="27"/>
      <c r="P164" s="28"/>
      <c r="Q164" s="31"/>
      <c r="R164" s="27"/>
      <c r="S164" s="33" t="str">
        <f t="shared" ref="S164:S195" si="25">IF(R164="","",IF(R164="是",1,IF(R164="部分",0.5,0)))</f>
        <v/>
      </c>
      <c r="T164" s="34" t="str">
        <f t="shared" ref="T164:T195" si="26">IF(OR(Q164="",R164=""),"",IF(OR(R164="是",R164="部分"),IF(Q164&gt;0,"对且赚","对但亏"),IF(Q164&gt;0,"错但赚","错且亏")))</f>
        <v/>
      </c>
      <c r="U164" s="34" t="str">
        <f t="shared" ref="U164:U195" si="27">IF(OR(P164="",B164=""),"",P164-B164)</f>
        <v/>
      </c>
      <c r="V164" s="35" t="str">
        <f t="shared" ref="V164:V195" si="28">IF(OR(L164="",Q164=""),"",L164*Q164)</f>
        <v/>
      </c>
      <c r="W164" s="33" t="str">
        <f t="shared" ref="W164:W195" si="29">IF(OR(H164="",S164=""),"",(H164-S164)^2)</f>
        <v/>
      </c>
      <c r="X164" s="35" t="str">
        <f>IF(Q164="","",SUM($V$4:V164))</f>
        <v/>
      </c>
      <c r="Y164" s="35" t="str">
        <f>IF(X164="","",X164-MAX($X$4:X164))</f>
        <v/>
      </c>
      <c r="Z164" s="30"/>
    </row>
    <row r="165" spans="1:26" ht="15" customHeight="1">
      <c r="A165" s="27">
        <v>162</v>
      </c>
      <c r="B165" s="28"/>
      <c r="C165" s="29"/>
      <c r="D165" s="27"/>
      <c r="E165" s="30"/>
      <c r="F165" s="30"/>
      <c r="G165" s="27"/>
      <c r="H165" s="31"/>
      <c r="I165" s="30"/>
      <c r="J165" s="30"/>
      <c r="K165" s="30"/>
      <c r="L165" s="31"/>
      <c r="M165" s="32"/>
      <c r="N165" s="29"/>
      <c r="O165" s="27"/>
      <c r="P165" s="28"/>
      <c r="Q165" s="31"/>
      <c r="R165" s="27"/>
      <c r="S165" s="33" t="str">
        <f t="shared" si="25"/>
        <v/>
      </c>
      <c r="T165" s="34" t="str">
        <f t="shared" si="26"/>
        <v/>
      </c>
      <c r="U165" s="34" t="str">
        <f t="shared" si="27"/>
        <v/>
      </c>
      <c r="V165" s="35" t="str">
        <f t="shared" si="28"/>
        <v/>
      </c>
      <c r="W165" s="33" t="str">
        <f t="shared" si="29"/>
        <v/>
      </c>
      <c r="X165" s="35" t="str">
        <f>IF(Q165="","",SUM($V$4:V165))</f>
        <v/>
      </c>
      <c r="Y165" s="35" t="str">
        <f>IF(X165="","",X165-MAX($X$4:X165))</f>
        <v/>
      </c>
      <c r="Z165" s="30"/>
    </row>
    <row r="166" spans="1:26" ht="15" customHeight="1">
      <c r="A166" s="27">
        <v>163</v>
      </c>
      <c r="B166" s="28"/>
      <c r="C166" s="29"/>
      <c r="D166" s="27"/>
      <c r="E166" s="30"/>
      <c r="F166" s="30"/>
      <c r="G166" s="27"/>
      <c r="H166" s="31"/>
      <c r="I166" s="30"/>
      <c r="J166" s="30"/>
      <c r="K166" s="30"/>
      <c r="L166" s="31"/>
      <c r="M166" s="32"/>
      <c r="N166" s="29"/>
      <c r="O166" s="27"/>
      <c r="P166" s="28"/>
      <c r="Q166" s="31"/>
      <c r="R166" s="27"/>
      <c r="S166" s="33" t="str">
        <f t="shared" si="25"/>
        <v/>
      </c>
      <c r="T166" s="34" t="str">
        <f t="shared" si="26"/>
        <v/>
      </c>
      <c r="U166" s="34" t="str">
        <f t="shared" si="27"/>
        <v/>
      </c>
      <c r="V166" s="35" t="str">
        <f t="shared" si="28"/>
        <v/>
      </c>
      <c r="W166" s="33" t="str">
        <f t="shared" si="29"/>
        <v/>
      </c>
      <c r="X166" s="35" t="str">
        <f>IF(Q166="","",SUM($V$4:V166))</f>
        <v/>
      </c>
      <c r="Y166" s="35" t="str">
        <f>IF(X166="","",X166-MAX($X$4:X166))</f>
        <v/>
      </c>
      <c r="Z166" s="30"/>
    </row>
    <row r="167" spans="1:26" ht="15" customHeight="1">
      <c r="A167" s="27">
        <v>164</v>
      </c>
      <c r="B167" s="28"/>
      <c r="C167" s="29"/>
      <c r="D167" s="27"/>
      <c r="E167" s="30"/>
      <c r="F167" s="30"/>
      <c r="G167" s="27"/>
      <c r="H167" s="31"/>
      <c r="I167" s="30"/>
      <c r="J167" s="30"/>
      <c r="K167" s="30"/>
      <c r="L167" s="31"/>
      <c r="M167" s="32"/>
      <c r="N167" s="29"/>
      <c r="O167" s="27"/>
      <c r="P167" s="28"/>
      <c r="Q167" s="31"/>
      <c r="R167" s="27"/>
      <c r="S167" s="33" t="str">
        <f t="shared" si="25"/>
        <v/>
      </c>
      <c r="T167" s="34" t="str">
        <f t="shared" si="26"/>
        <v/>
      </c>
      <c r="U167" s="34" t="str">
        <f t="shared" si="27"/>
        <v/>
      </c>
      <c r="V167" s="35" t="str">
        <f t="shared" si="28"/>
        <v/>
      </c>
      <c r="W167" s="33" t="str">
        <f t="shared" si="29"/>
        <v/>
      </c>
      <c r="X167" s="35" t="str">
        <f>IF(Q167="","",SUM($V$4:V167))</f>
        <v/>
      </c>
      <c r="Y167" s="35" t="str">
        <f>IF(X167="","",X167-MAX($X$4:X167))</f>
        <v/>
      </c>
      <c r="Z167" s="30"/>
    </row>
    <row r="168" spans="1:26" ht="15" customHeight="1">
      <c r="A168" s="27">
        <v>165</v>
      </c>
      <c r="B168" s="28"/>
      <c r="C168" s="29"/>
      <c r="D168" s="27"/>
      <c r="E168" s="30"/>
      <c r="F168" s="30"/>
      <c r="G168" s="27"/>
      <c r="H168" s="31"/>
      <c r="I168" s="30"/>
      <c r="J168" s="30"/>
      <c r="K168" s="30"/>
      <c r="L168" s="31"/>
      <c r="M168" s="32"/>
      <c r="N168" s="29"/>
      <c r="O168" s="27"/>
      <c r="P168" s="28"/>
      <c r="Q168" s="31"/>
      <c r="R168" s="27"/>
      <c r="S168" s="33" t="str">
        <f t="shared" si="25"/>
        <v/>
      </c>
      <c r="T168" s="34" t="str">
        <f t="shared" si="26"/>
        <v/>
      </c>
      <c r="U168" s="34" t="str">
        <f t="shared" si="27"/>
        <v/>
      </c>
      <c r="V168" s="35" t="str">
        <f t="shared" si="28"/>
        <v/>
      </c>
      <c r="W168" s="33" t="str">
        <f t="shared" si="29"/>
        <v/>
      </c>
      <c r="X168" s="35" t="str">
        <f>IF(Q168="","",SUM($V$4:V168))</f>
        <v/>
      </c>
      <c r="Y168" s="35" t="str">
        <f>IF(X168="","",X168-MAX($X$4:X168))</f>
        <v/>
      </c>
      <c r="Z168" s="30"/>
    </row>
    <row r="169" spans="1:26" ht="15" customHeight="1">
      <c r="A169" s="27">
        <v>166</v>
      </c>
      <c r="B169" s="28"/>
      <c r="C169" s="29"/>
      <c r="D169" s="27"/>
      <c r="E169" s="30"/>
      <c r="F169" s="30"/>
      <c r="G169" s="27"/>
      <c r="H169" s="31"/>
      <c r="I169" s="30"/>
      <c r="J169" s="30"/>
      <c r="K169" s="30"/>
      <c r="L169" s="31"/>
      <c r="M169" s="32"/>
      <c r="N169" s="29"/>
      <c r="O169" s="27"/>
      <c r="P169" s="28"/>
      <c r="Q169" s="31"/>
      <c r="R169" s="27"/>
      <c r="S169" s="33" t="str">
        <f t="shared" si="25"/>
        <v/>
      </c>
      <c r="T169" s="34" t="str">
        <f t="shared" si="26"/>
        <v/>
      </c>
      <c r="U169" s="34" t="str">
        <f t="shared" si="27"/>
        <v/>
      </c>
      <c r="V169" s="35" t="str">
        <f t="shared" si="28"/>
        <v/>
      </c>
      <c r="W169" s="33" t="str">
        <f t="shared" si="29"/>
        <v/>
      </c>
      <c r="X169" s="35" t="str">
        <f>IF(Q169="","",SUM($V$4:V169))</f>
        <v/>
      </c>
      <c r="Y169" s="35" t="str">
        <f>IF(X169="","",X169-MAX($X$4:X169))</f>
        <v/>
      </c>
      <c r="Z169" s="30"/>
    </row>
    <row r="170" spans="1:26" ht="15" customHeight="1">
      <c r="A170" s="27">
        <v>167</v>
      </c>
      <c r="B170" s="28"/>
      <c r="C170" s="29"/>
      <c r="D170" s="27"/>
      <c r="E170" s="30"/>
      <c r="F170" s="30"/>
      <c r="G170" s="27"/>
      <c r="H170" s="31"/>
      <c r="I170" s="30"/>
      <c r="J170" s="30"/>
      <c r="K170" s="30"/>
      <c r="L170" s="31"/>
      <c r="M170" s="32"/>
      <c r="N170" s="29"/>
      <c r="O170" s="27"/>
      <c r="P170" s="28"/>
      <c r="Q170" s="31"/>
      <c r="R170" s="27"/>
      <c r="S170" s="33" t="str">
        <f t="shared" si="25"/>
        <v/>
      </c>
      <c r="T170" s="34" t="str">
        <f t="shared" si="26"/>
        <v/>
      </c>
      <c r="U170" s="34" t="str">
        <f t="shared" si="27"/>
        <v/>
      </c>
      <c r="V170" s="35" t="str">
        <f t="shared" si="28"/>
        <v/>
      </c>
      <c r="W170" s="33" t="str">
        <f t="shared" si="29"/>
        <v/>
      </c>
      <c r="X170" s="35" t="str">
        <f>IF(Q170="","",SUM($V$4:V170))</f>
        <v/>
      </c>
      <c r="Y170" s="35" t="str">
        <f>IF(X170="","",X170-MAX($X$4:X170))</f>
        <v/>
      </c>
      <c r="Z170" s="30"/>
    </row>
    <row r="171" spans="1:26" ht="15" customHeight="1">
      <c r="A171" s="27">
        <v>168</v>
      </c>
      <c r="B171" s="28"/>
      <c r="C171" s="29"/>
      <c r="D171" s="27"/>
      <c r="E171" s="30"/>
      <c r="F171" s="30"/>
      <c r="G171" s="27"/>
      <c r="H171" s="31"/>
      <c r="I171" s="30"/>
      <c r="J171" s="30"/>
      <c r="K171" s="30"/>
      <c r="L171" s="31"/>
      <c r="M171" s="32"/>
      <c r="N171" s="29"/>
      <c r="O171" s="27"/>
      <c r="P171" s="28"/>
      <c r="Q171" s="31"/>
      <c r="R171" s="27"/>
      <c r="S171" s="33" t="str">
        <f t="shared" si="25"/>
        <v/>
      </c>
      <c r="T171" s="34" t="str">
        <f t="shared" si="26"/>
        <v/>
      </c>
      <c r="U171" s="34" t="str">
        <f t="shared" si="27"/>
        <v/>
      </c>
      <c r="V171" s="35" t="str">
        <f t="shared" si="28"/>
        <v/>
      </c>
      <c r="W171" s="33" t="str">
        <f t="shared" si="29"/>
        <v/>
      </c>
      <c r="X171" s="35" t="str">
        <f>IF(Q171="","",SUM($V$4:V171))</f>
        <v/>
      </c>
      <c r="Y171" s="35" t="str">
        <f>IF(X171="","",X171-MAX($X$4:X171))</f>
        <v/>
      </c>
      <c r="Z171" s="30"/>
    </row>
    <row r="172" spans="1:26" ht="15" customHeight="1">
      <c r="A172" s="27">
        <v>169</v>
      </c>
      <c r="B172" s="28"/>
      <c r="C172" s="29"/>
      <c r="D172" s="27"/>
      <c r="E172" s="30"/>
      <c r="F172" s="30"/>
      <c r="G172" s="27"/>
      <c r="H172" s="31"/>
      <c r="I172" s="30"/>
      <c r="J172" s="30"/>
      <c r="K172" s="30"/>
      <c r="L172" s="31"/>
      <c r="M172" s="32"/>
      <c r="N172" s="29"/>
      <c r="O172" s="27"/>
      <c r="P172" s="28"/>
      <c r="Q172" s="31"/>
      <c r="R172" s="27"/>
      <c r="S172" s="33" t="str">
        <f t="shared" si="25"/>
        <v/>
      </c>
      <c r="T172" s="34" t="str">
        <f t="shared" si="26"/>
        <v/>
      </c>
      <c r="U172" s="34" t="str">
        <f t="shared" si="27"/>
        <v/>
      </c>
      <c r="V172" s="35" t="str">
        <f t="shared" si="28"/>
        <v/>
      </c>
      <c r="W172" s="33" t="str">
        <f t="shared" si="29"/>
        <v/>
      </c>
      <c r="X172" s="35" t="str">
        <f>IF(Q172="","",SUM($V$4:V172))</f>
        <v/>
      </c>
      <c r="Y172" s="35" t="str">
        <f>IF(X172="","",X172-MAX($X$4:X172))</f>
        <v/>
      </c>
      <c r="Z172" s="30"/>
    </row>
    <row r="173" spans="1:26" ht="15" customHeight="1">
      <c r="A173" s="27">
        <v>170</v>
      </c>
      <c r="B173" s="28"/>
      <c r="C173" s="29"/>
      <c r="D173" s="27"/>
      <c r="E173" s="30"/>
      <c r="F173" s="30"/>
      <c r="G173" s="27"/>
      <c r="H173" s="31"/>
      <c r="I173" s="30"/>
      <c r="J173" s="30"/>
      <c r="K173" s="30"/>
      <c r="L173" s="31"/>
      <c r="M173" s="32"/>
      <c r="N173" s="29"/>
      <c r="O173" s="27"/>
      <c r="P173" s="28"/>
      <c r="Q173" s="31"/>
      <c r="R173" s="27"/>
      <c r="S173" s="33" t="str">
        <f t="shared" si="25"/>
        <v/>
      </c>
      <c r="T173" s="34" t="str">
        <f t="shared" si="26"/>
        <v/>
      </c>
      <c r="U173" s="34" t="str">
        <f t="shared" si="27"/>
        <v/>
      </c>
      <c r="V173" s="35" t="str">
        <f t="shared" si="28"/>
        <v/>
      </c>
      <c r="W173" s="33" t="str">
        <f t="shared" si="29"/>
        <v/>
      </c>
      <c r="X173" s="35" t="str">
        <f>IF(Q173="","",SUM($V$4:V173))</f>
        <v/>
      </c>
      <c r="Y173" s="35" t="str">
        <f>IF(X173="","",X173-MAX($X$4:X173))</f>
        <v/>
      </c>
      <c r="Z173" s="30"/>
    </row>
    <row r="174" spans="1:26" ht="15" customHeight="1">
      <c r="A174" s="27">
        <v>171</v>
      </c>
      <c r="B174" s="28"/>
      <c r="C174" s="29"/>
      <c r="D174" s="27"/>
      <c r="E174" s="30"/>
      <c r="F174" s="30"/>
      <c r="G174" s="27"/>
      <c r="H174" s="31"/>
      <c r="I174" s="30"/>
      <c r="J174" s="30"/>
      <c r="K174" s="30"/>
      <c r="L174" s="31"/>
      <c r="M174" s="32"/>
      <c r="N174" s="29"/>
      <c r="O174" s="27"/>
      <c r="P174" s="28"/>
      <c r="Q174" s="31"/>
      <c r="R174" s="27"/>
      <c r="S174" s="33" t="str">
        <f t="shared" si="25"/>
        <v/>
      </c>
      <c r="T174" s="34" t="str">
        <f t="shared" si="26"/>
        <v/>
      </c>
      <c r="U174" s="34" t="str">
        <f t="shared" si="27"/>
        <v/>
      </c>
      <c r="V174" s="35" t="str">
        <f t="shared" si="28"/>
        <v/>
      </c>
      <c r="W174" s="33" t="str">
        <f t="shared" si="29"/>
        <v/>
      </c>
      <c r="X174" s="35" t="str">
        <f>IF(Q174="","",SUM($V$4:V174))</f>
        <v/>
      </c>
      <c r="Y174" s="35" t="str">
        <f>IF(X174="","",X174-MAX($X$4:X174))</f>
        <v/>
      </c>
      <c r="Z174" s="30"/>
    </row>
    <row r="175" spans="1:26" ht="15" customHeight="1">
      <c r="A175" s="27">
        <v>172</v>
      </c>
      <c r="B175" s="28"/>
      <c r="C175" s="29"/>
      <c r="D175" s="27"/>
      <c r="E175" s="30"/>
      <c r="F175" s="30"/>
      <c r="G175" s="27"/>
      <c r="H175" s="31"/>
      <c r="I175" s="30"/>
      <c r="J175" s="30"/>
      <c r="K175" s="30"/>
      <c r="L175" s="31"/>
      <c r="M175" s="32"/>
      <c r="N175" s="29"/>
      <c r="O175" s="27"/>
      <c r="P175" s="28"/>
      <c r="Q175" s="31"/>
      <c r="R175" s="27"/>
      <c r="S175" s="33" t="str">
        <f t="shared" si="25"/>
        <v/>
      </c>
      <c r="T175" s="34" t="str">
        <f t="shared" si="26"/>
        <v/>
      </c>
      <c r="U175" s="34" t="str">
        <f t="shared" si="27"/>
        <v/>
      </c>
      <c r="V175" s="35" t="str">
        <f t="shared" si="28"/>
        <v/>
      </c>
      <c r="W175" s="33" t="str">
        <f t="shared" si="29"/>
        <v/>
      </c>
      <c r="X175" s="35" t="str">
        <f>IF(Q175="","",SUM($V$4:V175))</f>
        <v/>
      </c>
      <c r="Y175" s="35" t="str">
        <f>IF(X175="","",X175-MAX($X$4:X175))</f>
        <v/>
      </c>
      <c r="Z175" s="30"/>
    </row>
    <row r="176" spans="1:26" ht="15" customHeight="1">
      <c r="A176" s="27">
        <v>173</v>
      </c>
      <c r="B176" s="28"/>
      <c r="C176" s="29"/>
      <c r="D176" s="27"/>
      <c r="E176" s="30"/>
      <c r="F176" s="30"/>
      <c r="G176" s="27"/>
      <c r="H176" s="31"/>
      <c r="I176" s="30"/>
      <c r="J176" s="30"/>
      <c r="K176" s="30"/>
      <c r="L176" s="31"/>
      <c r="M176" s="32"/>
      <c r="N176" s="29"/>
      <c r="O176" s="27"/>
      <c r="P176" s="28"/>
      <c r="Q176" s="31"/>
      <c r="R176" s="27"/>
      <c r="S176" s="33" t="str">
        <f t="shared" si="25"/>
        <v/>
      </c>
      <c r="T176" s="34" t="str">
        <f t="shared" si="26"/>
        <v/>
      </c>
      <c r="U176" s="34" t="str">
        <f t="shared" si="27"/>
        <v/>
      </c>
      <c r="V176" s="35" t="str">
        <f t="shared" si="28"/>
        <v/>
      </c>
      <c r="W176" s="33" t="str">
        <f t="shared" si="29"/>
        <v/>
      </c>
      <c r="X176" s="35" t="str">
        <f>IF(Q176="","",SUM($V$4:V176))</f>
        <v/>
      </c>
      <c r="Y176" s="35" t="str">
        <f>IF(X176="","",X176-MAX($X$4:X176))</f>
        <v/>
      </c>
      <c r="Z176" s="30"/>
    </row>
    <row r="177" spans="1:26" ht="15" customHeight="1">
      <c r="A177" s="27">
        <v>174</v>
      </c>
      <c r="B177" s="28"/>
      <c r="C177" s="29"/>
      <c r="D177" s="27"/>
      <c r="E177" s="30"/>
      <c r="F177" s="30"/>
      <c r="G177" s="27"/>
      <c r="H177" s="31"/>
      <c r="I177" s="30"/>
      <c r="J177" s="30"/>
      <c r="K177" s="30"/>
      <c r="L177" s="31"/>
      <c r="M177" s="32"/>
      <c r="N177" s="29"/>
      <c r="O177" s="27"/>
      <c r="P177" s="28"/>
      <c r="Q177" s="31"/>
      <c r="R177" s="27"/>
      <c r="S177" s="33" t="str">
        <f t="shared" si="25"/>
        <v/>
      </c>
      <c r="T177" s="34" t="str">
        <f t="shared" si="26"/>
        <v/>
      </c>
      <c r="U177" s="34" t="str">
        <f t="shared" si="27"/>
        <v/>
      </c>
      <c r="V177" s="35" t="str">
        <f t="shared" si="28"/>
        <v/>
      </c>
      <c r="W177" s="33" t="str">
        <f t="shared" si="29"/>
        <v/>
      </c>
      <c r="X177" s="35" t="str">
        <f>IF(Q177="","",SUM($V$4:V177))</f>
        <v/>
      </c>
      <c r="Y177" s="35" t="str">
        <f>IF(X177="","",X177-MAX($X$4:X177))</f>
        <v/>
      </c>
      <c r="Z177" s="30"/>
    </row>
    <row r="178" spans="1:26" ht="15" customHeight="1">
      <c r="A178" s="27">
        <v>175</v>
      </c>
      <c r="B178" s="28"/>
      <c r="C178" s="29"/>
      <c r="D178" s="27"/>
      <c r="E178" s="30"/>
      <c r="F178" s="30"/>
      <c r="G178" s="27"/>
      <c r="H178" s="31"/>
      <c r="I178" s="30"/>
      <c r="J178" s="30"/>
      <c r="K178" s="30"/>
      <c r="L178" s="31"/>
      <c r="M178" s="32"/>
      <c r="N178" s="29"/>
      <c r="O178" s="27"/>
      <c r="P178" s="28"/>
      <c r="Q178" s="31"/>
      <c r="R178" s="27"/>
      <c r="S178" s="33" t="str">
        <f t="shared" si="25"/>
        <v/>
      </c>
      <c r="T178" s="34" t="str">
        <f t="shared" si="26"/>
        <v/>
      </c>
      <c r="U178" s="34" t="str">
        <f t="shared" si="27"/>
        <v/>
      </c>
      <c r="V178" s="35" t="str">
        <f t="shared" si="28"/>
        <v/>
      </c>
      <c r="W178" s="33" t="str">
        <f t="shared" si="29"/>
        <v/>
      </c>
      <c r="X178" s="35" t="str">
        <f>IF(Q178="","",SUM($V$4:V178))</f>
        <v/>
      </c>
      <c r="Y178" s="35" t="str">
        <f>IF(X178="","",X178-MAX($X$4:X178))</f>
        <v/>
      </c>
      <c r="Z178" s="30"/>
    </row>
    <row r="179" spans="1:26" ht="15" customHeight="1">
      <c r="A179" s="27">
        <v>176</v>
      </c>
      <c r="B179" s="28"/>
      <c r="C179" s="29"/>
      <c r="D179" s="27"/>
      <c r="E179" s="30"/>
      <c r="F179" s="30"/>
      <c r="G179" s="27"/>
      <c r="H179" s="31"/>
      <c r="I179" s="30"/>
      <c r="J179" s="30"/>
      <c r="K179" s="30"/>
      <c r="L179" s="31"/>
      <c r="M179" s="32"/>
      <c r="N179" s="29"/>
      <c r="O179" s="27"/>
      <c r="P179" s="28"/>
      <c r="Q179" s="31"/>
      <c r="R179" s="27"/>
      <c r="S179" s="33" t="str">
        <f t="shared" si="25"/>
        <v/>
      </c>
      <c r="T179" s="34" t="str">
        <f t="shared" si="26"/>
        <v/>
      </c>
      <c r="U179" s="34" t="str">
        <f t="shared" si="27"/>
        <v/>
      </c>
      <c r="V179" s="35" t="str">
        <f t="shared" si="28"/>
        <v/>
      </c>
      <c r="W179" s="33" t="str">
        <f t="shared" si="29"/>
        <v/>
      </c>
      <c r="X179" s="35" t="str">
        <f>IF(Q179="","",SUM($V$4:V179))</f>
        <v/>
      </c>
      <c r="Y179" s="35" t="str">
        <f>IF(X179="","",X179-MAX($X$4:X179))</f>
        <v/>
      </c>
      <c r="Z179" s="30"/>
    </row>
    <row r="180" spans="1:26" ht="15" customHeight="1">
      <c r="A180" s="27">
        <v>177</v>
      </c>
      <c r="B180" s="28"/>
      <c r="C180" s="29"/>
      <c r="D180" s="27"/>
      <c r="E180" s="30"/>
      <c r="F180" s="30"/>
      <c r="G180" s="27"/>
      <c r="H180" s="31"/>
      <c r="I180" s="30"/>
      <c r="J180" s="30"/>
      <c r="K180" s="30"/>
      <c r="L180" s="31"/>
      <c r="M180" s="32"/>
      <c r="N180" s="29"/>
      <c r="O180" s="27"/>
      <c r="P180" s="28"/>
      <c r="Q180" s="31"/>
      <c r="R180" s="27"/>
      <c r="S180" s="33" t="str">
        <f t="shared" si="25"/>
        <v/>
      </c>
      <c r="T180" s="34" t="str">
        <f t="shared" si="26"/>
        <v/>
      </c>
      <c r="U180" s="34" t="str">
        <f t="shared" si="27"/>
        <v/>
      </c>
      <c r="V180" s="35" t="str">
        <f t="shared" si="28"/>
        <v/>
      </c>
      <c r="W180" s="33" t="str">
        <f t="shared" si="29"/>
        <v/>
      </c>
      <c r="X180" s="35" t="str">
        <f>IF(Q180="","",SUM($V$4:V180))</f>
        <v/>
      </c>
      <c r="Y180" s="35" t="str">
        <f>IF(X180="","",X180-MAX($X$4:X180))</f>
        <v/>
      </c>
      <c r="Z180" s="30"/>
    </row>
    <row r="181" spans="1:26" ht="15" customHeight="1">
      <c r="A181" s="27">
        <v>178</v>
      </c>
      <c r="B181" s="28"/>
      <c r="C181" s="29"/>
      <c r="D181" s="27"/>
      <c r="E181" s="30"/>
      <c r="F181" s="30"/>
      <c r="G181" s="27"/>
      <c r="H181" s="31"/>
      <c r="I181" s="30"/>
      <c r="J181" s="30"/>
      <c r="K181" s="30"/>
      <c r="L181" s="31"/>
      <c r="M181" s="32"/>
      <c r="N181" s="29"/>
      <c r="O181" s="27"/>
      <c r="P181" s="28"/>
      <c r="Q181" s="31"/>
      <c r="R181" s="27"/>
      <c r="S181" s="33" t="str">
        <f t="shared" si="25"/>
        <v/>
      </c>
      <c r="T181" s="34" t="str">
        <f t="shared" si="26"/>
        <v/>
      </c>
      <c r="U181" s="34" t="str">
        <f t="shared" si="27"/>
        <v/>
      </c>
      <c r="V181" s="35" t="str">
        <f t="shared" si="28"/>
        <v/>
      </c>
      <c r="W181" s="33" t="str">
        <f t="shared" si="29"/>
        <v/>
      </c>
      <c r="X181" s="35" t="str">
        <f>IF(Q181="","",SUM($V$4:V181))</f>
        <v/>
      </c>
      <c r="Y181" s="35" t="str">
        <f>IF(X181="","",X181-MAX($X$4:X181))</f>
        <v/>
      </c>
      <c r="Z181" s="30"/>
    </row>
    <row r="182" spans="1:26" ht="15" customHeight="1">
      <c r="A182" s="27">
        <v>179</v>
      </c>
      <c r="B182" s="28"/>
      <c r="C182" s="29"/>
      <c r="D182" s="27"/>
      <c r="E182" s="30"/>
      <c r="F182" s="30"/>
      <c r="G182" s="27"/>
      <c r="H182" s="31"/>
      <c r="I182" s="30"/>
      <c r="J182" s="30"/>
      <c r="K182" s="30"/>
      <c r="L182" s="31"/>
      <c r="M182" s="32"/>
      <c r="N182" s="29"/>
      <c r="O182" s="27"/>
      <c r="P182" s="28"/>
      <c r="Q182" s="31"/>
      <c r="R182" s="27"/>
      <c r="S182" s="33" t="str">
        <f t="shared" si="25"/>
        <v/>
      </c>
      <c r="T182" s="34" t="str">
        <f t="shared" si="26"/>
        <v/>
      </c>
      <c r="U182" s="34" t="str">
        <f t="shared" si="27"/>
        <v/>
      </c>
      <c r="V182" s="35" t="str">
        <f t="shared" si="28"/>
        <v/>
      </c>
      <c r="W182" s="33" t="str">
        <f t="shared" si="29"/>
        <v/>
      </c>
      <c r="X182" s="35" t="str">
        <f>IF(Q182="","",SUM($V$4:V182))</f>
        <v/>
      </c>
      <c r="Y182" s="35" t="str">
        <f>IF(X182="","",X182-MAX($X$4:X182))</f>
        <v/>
      </c>
      <c r="Z182" s="30"/>
    </row>
    <row r="183" spans="1:26" ht="15" customHeight="1">
      <c r="A183" s="27">
        <v>180</v>
      </c>
      <c r="B183" s="28"/>
      <c r="C183" s="29"/>
      <c r="D183" s="27"/>
      <c r="E183" s="30"/>
      <c r="F183" s="30"/>
      <c r="G183" s="27"/>
      <c r="H183" s="31"/>
      <c r="I183" s="30"/>
      <c r="J183" s="30"/>
      <c r="K183" s="30"/>
      <c r="L183" s="31"/>
      <c r="M183" s="32"/>
      <c r="N183" s="29"/>
      <c r="O183" s="27"/>
      <c r="P183" s="28"/>
      <c r="Q183" s="31"/>
      <c r="R183" s="27"/>
      <c r="S183" s="33" t="str">
        <f t="shared" si="25"/>
        <v/>
      </c>
      <c r="T183" s="34" t="str">
        <f t="shared" si="26"/>
        <v/>
      </c>
      <c r="U183" s="34" t="str">
        <f t="shared" si="27"/>
        <v/>
      </c>
      <c r="V183" s="35" t="str">
        <f t="shared" si="28"/>
        <v/>
      </c>
      <c r="W183" s="33" t="str">
        <f t="shared" si="29"/>
        <v/>
      </c>
      <c r="X183" s="35" t="str">
        <f>IF(Q183="","",SUM($V$4:V183))</f>
        <v/>
      </c>
      <c r="Y183" s="35" t="str">
        <f>IF(X183="","",X183-MAX($X$4:X183))</f>
        <v/>
      </c>
      <c r="Z183" s="30"/>
    </row>
    <row r="184" spans="1:26" ht="15" customHeight="1">
      <c r="A184" s="27">
        <v>181</v>
      </c>
      <c r="B184" s="28"/>
      <c r="C184" s="29"/>
      <c r="D184" s="27"/>
      <c r="E184" s="30"/>
      <c r="F184" s="30"/>
      <c r="G184" s="27"/>
      <c r="H184" s="31"/>
      <c r="I184" s="30"/>
      <c r="J184" s="30"/>
      <c r="K184" s="30"/>
      <c r="L184" s="31"/>
      <c r="M184" s="32"/>
      <c r="N184" s="29"/>
      <c r="O184" s="27"/>
      <c r="P184" s="28"/>
      <c r="Q184" s="31"/>
      <c r="R184" s="27"/>
      <c r="S184" s="33" t="str">
        <f t="shared" si="25"/>
        <v/>
      </c>
      <c r="T184" s="34" t="str">
        <f t="shared" si="26"/>
        <v/>
      </c>
      <c r="U184" s="34" t="str">
        <f t="shared" si="27"/>
        <v/>
      </c>
      <c r="V184" s="35" t="str">
        <f t="shared" si="28"/>
        <v/>
      </c>
      <c r="W184" s="33" t="str">
        <f t="shared" si="29"/>
        <v/>
      </c>
      <c r="X184" s="35" t="str">
        <f>IF(Q184="","",SUM($V$4:V184))</f>
        <v/>
      </c>
      <c r="Y184" s="35" t="str">
        <f>IF(X184="","",X184-MAX($X$4:X184))</f>
        <v/>
      </c>
      <c r="Z184" s="30"/>
    </row>
    <row r="185" spans="1:26" ht="15" customHeight="1">
      <c r="A185" s="27">
        <v>182</v>
      </c>
      <c r="B185" s="28"/>
      <c r="C185" s="29"/>
      <c r="D185" s="27"/>
      <c r="E185" s="30"/>
      <c r="F185" s="30"/>
      <c r="G185" s="27"/>
      <c r="H185" s="31"/>
      <c r="I185" s="30"/>
      <c r="J185" s="30"/>
      <c r="K185" s="30"/>
      <c r="L185" s="31"/>
      <c r="M185" s="32"/>
      <c r="N185" s="29"/>
      <c r="O185" s="27"/>
      <c r="P185" s="28"/>
      <c r="Q185" s="31"/>
      <c r="R185" s="27"/>
      <c r="S185" s="33" t="str">
        <f t="shared" si="25"/>
        <v/>
      </c>
      <c r="T185" s="34" t="str">
        <f t="shared" si="26"/>
        <v/>
      </c>
      <c r="U185" s="34" t="str">
        <f t="shared" si="27"/>
        <v/>
      </c>
      <c r="V185" s="35" t="str">
        <f t="shared" si="28"/>
        <v/>
      </c>
      <c r="W185" s="33" t="str">
        <f t="shared" si="29"/>
        <v/>
      </c>
      <c r="X185" s="35" t="str">
        <f>IF(Q185="","",SUM($V$4:V185))</f>
        <v/>
      </c>
      <c r="Y185" s="35" t="str">
        <f>IF(X185="","",X185-MAX($X$4:X185))</f>
        <v/>
      </c>
      <c r="Z185" s="30"/>
    </row>
    <row r="186" spans="1:26" ht="15" customHeight="1">
      <c r="A186" s="27">
        <v>183</v>
      </c>
      <c r="B186" s="28"/>
      <c r="C186" s="29"/>
      <c r="D186" s="27"/>
      <c r="E186" s="30"/>
      <c r="F186" s="30"/>
      <c r="G186" s="27"/>
      <c r="H186" s="31"/>
      <c r="I186" s="30"/>
      <c r="J186" s="30"/>
      <c r="K186" s="30"/>
      <c r="L186" s="31"/>
      <c r="M186" s="32"/>
      <c r="N186" s="29"/>
      <c r="O186" s="27"/>
      <c r="P186" s="28"/>
      <c r="Q186" s="31"/>
      <c r="R186" s="27"/>
      <c r="S186" s="33" t="str">
        <f t="shared" si="25"/>
        <v/>
      </c>
      <c r="T186" s="34" t="str">
        <f t="shared" si="26"/>
        <v/>
      </c>
      <c r="U186" s="34" t="str">
        <f t="shared" si="27"/>
        <v/>
      </c>
      <c r="V186" s="35" t="str">
        <f t="shared" si="28"/>
        <v/>
      </c>
      <c r="W186" s="33" t="str">
        <f t="shared" si="29"/>
        <v/>
      </c>
      <c r="X186" s="35" t="str">
        <f>IF(Q186="","",SUM($V$4:V186))</f>
        <v/>
      </c>
      <c r="Y186" s="35" t="str">
        <f>IF(X186="","",X186-MAX($X$4:X186))</f>
        <v/>
      </c>
      <c r="Z186" s="30"/>
    </row>
    <row r="187" spans="1:26" ht="15" customHeight="1">
      <c r="A187" s="27">
        <v>184</v>
      </c>
      <c r="B187" s="28"/>
      <c r="C187" s="29"/>
      <c r="D187" s="27"/>
      <c r="E187" s="30"/>
      <c r="F187" s="30"/>
      <c r="G187" s="27"/>
      <c r="H187" s="31"/>
      <c r="I187" s="30"/>
      <c r="J187" s="30"/>
      <c r="K187" s="30"/>
      <c r="L187" s="31"/>
      <c r="M187" s="32"/>
      <c r="N187" s="29"/>
      <c r="O187" s="27"/>
      <c r="P187" s="28"/>
      <c r="Q187" s="31"/>
      <c r="R187" s="27"/>
      <c r="S187" s="33" t="str">
        <f t="shared" si="25"/>
        <v/>
      </c>
      <c r="T187" s="34" t="str">
        <f t="shared" si="26"/>
        <v/>
      </c>
      <c r="U187" s="34" t="str">
        <f t="shared" si="27"/>
        <v/>
      </c>
      <c r="V187" s="35" t="str">
        <f t="shared" si="28"/>
        <v/>
      </c>
      <c r="W187" s="33" t="str">
        <f t="shared" si="29"/>
        <v/>
      </c>
      <c r="X187" s="35" t="str">
        <f>IF(Q187="","",SUM($V$4:V187))</f>
        <v/>
      </c>
      <c r="Y187" s="35" t="str">
        <f>IF(X187="","",X187-MAX($X$4:X187))</f>
        <v/>
      </c>
      <c r="Z187" s="30"/>
    </row>
    <row r="188" spans="1:26" ht="15" customHeight="1">
      <c r="A188" s="27">
        <v>185</v>
      </c>
      <c r="B188" s="28"/>
      <c r="C188" s="29"/>
      <c r="D188" s="27"/>
      <c r="E188" s="30"/>
      <c r="F188" s="30"/>
      <c r="G188" s="27"/>
      <c r="H188" s="31"/>
      <c r="I188" s="30"/>
      <c r="J188" s="30"/>
      <c r="K188" s="30"/>
      <c r="L188" s="31"/>
      <c r="M188" s="32"/>
      <c r="N188" s="29"/>
      <c r="O188" s="27"/>
      <c r="P188" s="28"/>
      <c r="Q188" s="31"/>
      <c r="R188" s="27"/>
      <c r="S188" s="33" t="str">
        <f t="shared" si="25"/>
        <v/>
      </c>
      <c r="T188" s="34" t="str">
        <f t="shared" si="26"/>
        <v/>
      </c>
      <c r="U188" s="34" t="str">
        <f t="shared" si="27"/>
        <v/>
      </c>
      <c r="V188" s="35" t="str">
        <f t="shared" si="28"/>
        <v/>
      </c>
      <c r="W188" s="33" t="str">
        <f t="shared" si="29"/>
        <v/>
      </c>
      <c r="X188" s="35" t="str">
        <f>IF(Q188="","",SUM($V$4:V188))</f>
        <v/>
      </c>
      <c r="Y188" s="35" t="str">
        <f>IF(X188="","",X188-MAX($X$4:X188))</f>
        <v/>
      </c>
      <c r="Z188" s="30"/>
    </row>
    <row r="189" spans="1:26" ht="15" customHeight="1">
      <c r="A189" s="27">
        <v>186</v>
      </c>
      <c r="B189" s="28"/>
      <c r="C189" s="29"/>
      <c r="D189" s="27"/>
      <c r="E189" s="30"/>
      <c r="F189" s="30"/>
      <c r="G189" s="27"/>
      <c r="H189" s="31"/>
      <c r="I189" s="30"/>
      <c r="J189" s="30"/>
      <c r="K189" s="30"/>
      <c r="L189" s="31"/>
      <c r="M189" s="32"/>
      <c r="N189" s="29"/>
      <c r="O189" s="27"/>
      <c r="P189" s="28"/>
      <c r="Q189" s="31"/>
      <c r="R189" s="27"/>
      <c r="S189" s="33" t="str">
        <f t="shared" si="25"/>
        <v/>
      </c>
      <c r="T189" s="34" t="str">
        <f t="shared" si="26"/>
        <v/>
      </c>
      <c r="U189" s="34" t="str">
        <f t="shared" si="27"/>
        <v/>
      </c>
      <c r="V189" s="35" t="str">
        <f t="shared" si="28"/>
        <v/>
      </c>
      <c r="W189" s="33" t="str">
        <f t="shared" si="29"/>
        <v/>
      </c>
      <c r="X189" s="35" t="str">
        <f>IF(Q189="","",SUM($V$4:V189))</f>
        <v/>
      </c>
      <c r="Y189" s="35" t="str">
        <f>IF(X189="","",X189-MAX($X$4:X189))</f>
        <v/>
      </c>
      <c r="Z189" s="30"/>
    </row>
    <row r="190" spans="1:26" ht="15" customHeight="1">
      <c r="A190" s="27">
        <v>187</v>
      </c>
      <c r="B190" s="28"/>
      <c r="C190" s="29"/>
      <c r="D190" s="27"/>
      <c r="E190" s="30"/>
      <c r="F190" s="30"/>
      <c r="G190" s="27"/>
      <c r="H190" s="31"/>
      <c r="I190" s="30"/>
      <c r="J190" s="30"/>
      <c r="K190" s="30"/>
      <c r="L190" s="31"/>
      <c r="M190" s="32"/>
      <c r="N190" s="29"/>
      <c r="O190" s="27"/>
      <c r="P190" s="28"/>
      <c r="Q190" s="31"/>
      <c r="R190" s="27"/>
      <c r="S190" s="33" t="str">
        <f t="shared" si="25"/>
        <v/>
      </c>
      <c r="T190" s="34" t="str">
        <f t="shared" si="26"/>
        <v/>
      </c>
      <c r="U190" s="34" t="str">
        <f t="shared" si="27"/>
        <v/>
      </c>
      <c r="V190" s="35" t="str">
        <f t="shared" si="28"/>
        <v/>
      </c>
      <c r="W190" s="33" t="str">
        <f t="shared" si="29"/>
        <v/>
      </c>
      <c r="X190" s="35" t="str">
        <f>IF(Q190="","",SUM($V$4:V190))</f>
        <v/>
      </c>
      <c r="Y190" s="35" t="str">
        <f>IF(X190="","",X190-MAX($X$4:X190))</f>
        <v/>
      </c>
      <c r="Z190" s="30"/>
    </row>
    <row r="191" spans="1:26" ht="15" customHeight="1">
      <c r="A191" s="27">
        <v>188</v>
      </c>
      <c r="B191" s="28"/>
      <c r="C191" s="29"/>
      <c r="D191" s="27"/>
      <c r="E191" s="30"/>
      <c r="F191" s="30"/>
      <c r="G191" s="27"/>
      <c r="H191" s="31"/>
      <c r="I191" s="30"/>
      <c r="J191" s="30"/>
      <c r="K191" s="30"/>
      <c r="L191" s="31"/>
      <c r="M191" s="32"/>
      <c r="N191" s="29"/>
      <c r="O191" s="27"/>
      <c r="P191" s="28"/>
      <c r="Q191" s="31"/>
      <c r="R191" s="27"/>
      <c r="S191" s="33" t="str">
        <f t="shared" si="25"/>
        <v/>
      </c>
      <c r="T191" s="34" t="str">
        <f t="shared" si="26"/>
        <v/>
      </c>
      <c r="U191" s="34" t="str">
        <f t="shared" si="27"/>
        <v/>
      </c>
      <c r="V191" s="35" t="str">
        <f t="shared" si="28"/>
        <v/>
      </c>
      <c r="W191" s="33" t="str">
        <f t="shared" si="29"/>
        <v/>
      </c>
      <c r="X191" s="35" t="str">
        <f>IF(Q191="","",SUM($V$4:V191))</f>
        <v/>
      </c>
      <c r="Y191" s="35" t="str">
        <f>IF(X191="","",X191-MAX($X$4:X191))</f>
        <v/>
      </c>
      <c r="Z191" s="30"/>
    </row>
    <row r="192" spans="1:26" ht="15" customHeight="1">
      <c r="A192" s="27">
        <v>189</v>
      </c>
      <c r="B192" s="28"/>
      <c r="C192" s="29"/>
      <c r="D192" s="27"/>
      <c r="E192" s="30"/>
      <c r="F192" s="30"/>
      <c r="G192" s="27"/>
      <c r="H192" s="31"/>
      <c r="I192" s="30"/>
      <c r="J192" s="30"/>
      <c r="K192" s="30"/>
      <c r="L192" s="31"/>
      <c r="M192" s="32"/>
      <c r="N192" s="29"/>
      <c r="O192" s="27"/>
      <c r="P192" s="28"/>
      <c r="Q192" s="31"/>
      <c r="R192" s="27"/>
      <c r="S192" s="33" t="str">
        <f t="shared" si="25"/>
        <v/>
      </c>
      <c r="T192" s="34" t="str">
        <f t="shared" si="26"/>
        <v/>
      </c>
      <c r="U192" s="34" t="str">
        <f t="shared" si="27"/>
        <v/>
      </c>
      <c r="V192" s="35" t="str">
        <f t="shared" si="28"/>
        <v/>
      </c>
      <c r="W192" s="33" t="str">
        <f t="shared" si="29"/>
        <v/>
      </c>
      <c r="X192" s="35" t="str">
        <f>IF(Q192="","",SUM($V$4:V192))</f>
        <v/>
      </c>
      <c r="Y192" s="35" t="str">
        <f>IF(X192="","",X192-MAX($X$4:X192))</f>
        <v/>
      </c>
      <c r="Z192" s="30"/>
    </row>
    <row r="193" spans="1:26" ht="15" customHeight="1">
      <c r="A193" s="27">
        <v>190</v>
      </c>
      <c r="B193" s="28"/>
      <c r="C193" s="29"/>
      <c r="D193" s="27"/>
      <c r="E193" s="30"/>
      <c r="F193" s="30"/>
      <c r="G193" s="27"/>
      <c r="H193" s="31"/>
      <c r="I193" s="30"/>
      <c r="J193" s="30"/>
      <c r="K193" s="30"/>
      <c r="L193" s="31"/>
      <c r="M193" s="32"/>
      <c r="N193" s="29"/>
      <c r="O193" s="27"/>
      <c r="P193" s="28"/>
      <c r="Q193" s="31"/>
      <c r="R193" s="27"/>
      <c r="S193" s="33" t="str">
        <f t="shared" si="25"/>
        <v/>
      </c>
      <c r="T193" s="34" t="str">
        <f t="shared" si="26"/>
        <v/>
      </c>
      <c r="U193" s="34" t="str">
        <f t="shared" si="27"/>
        <v/>
      </c>
      <c r="V193" s="35" t="str">
        <f t="shared" si="28"/>
        <v/>
      </c>
      <c r="W193" s="33" t="str">
        <f t="shared" si="29"/>
        <v/>
      </c>
      <c r="X193" s="35" t="str">
        <f>IF(Q193="","",SUM($V$4:V193))</f>
        <v/>
      </c>
      <c r="Y193" s="35" t="str">
        <f>IF(X193="","",X193-MAX($X$4:X193))</f>
        <v/>
      </c>
      <c r="Z193" s="30"/>
    </row>
    <row r="194" spans="1:26" ht="15" customHeight="1">
      <c r="A194" s="27">
        <v>191</v>
      </c>
      <c r="B194" s="28"/>
      <c r="C194" s="29"/>
      <c r="D194" s="27"/>
      <c r="E194" s="30"/>
      <c r="F194" s="30"/>
      <c r="G194" s="27"/>
      <c r="H194" s="31"/>
      <c r="I194" s="30"/>
      <c r="J194" s="30"/>
      <c r="K194" s="30"/>
      <c r="L194" s="31"/>
      <c r="M194" s="32"/>
      <c r="N194" s="29"/>
      <c r="O194" s="27"/>
      <c r="P194" s="28"/>
      <c r="Q194" s="31"/>
      <c r="R194" s="27"/>
      <c r="S194" s="33" t="str">
        <f t="shared" si="25"/>
        <v/>
      </c>
      <c r="T194" s="34" t="str">
        <f t="shared" si="26"/>
        <v/>
      </c>
      <c r="U194" s="34" t="str">
        <f t="shared" si="27"/>
        <v/>
      </c>
      <c r="V194" s="35" t="str">
        <f t="shared" si="28"/>
        <v/>
      </c>
      <c r="W194" s="33" t="str">
        <f t="shared" si="29"/>
        <v/>
      </c>
      <c r="X194" s="35" t="str">
        <f>IF(Q194="","",SUM($V$4:V194))</f>
        <v/>
      </c>
      <c r="Y194" s="35" t="str">
        <f>IF(X194="","",X194-MAX($X$4:X194))</f>
        <v/>
      </c>
      <c r="Z194" s="30"/>
    </row>
    <row r="195" spans="1:26" ht="15" customHeight="1">
      <c r="A195" s="27">
        <v>192</v>
      </c>
      <c r="B195" s="28"/>
      <c r="C195" s="29"/>
      <c r="D195" s="27"/>
      <c r="E195" s="30"/>
      <c r="F195" s="30"/>
      <c r="G195" s="27"/>
      <c r="H195" s="31"/>
      <c r="I195" s="30"/>
      <c r="J195" s="30"/>
      <c r="K195" s="30"/>
      <c r="L195" s="31"/>
      <c r="M195" s="32"/>
      <c r="N195" s="29"/>
      <c r="O195" s="27"/>
      <c r="P195" s="28"/>
      <c r="Q195" s="31"/>
      <c r="R195" s="27"/>
      <c r="S195" s="33" t="str">
        <f t="shared" si="25"/>
        <v/>
      </c>
      <c r="T195" s="34" t="str">
        <f t="shared" si="26"/>
        <v/>
      </c>
      <c r="U195" s="34" t="str">
        <f t="shared" si="27"/>
        <v/>
      </c>
      <c r="V195" s="35" t="str">
        <f t="shared" si="28"/>
        <v/>
      </c>
      <c r="W195" s="33" t="str">
        <f t="shared" si="29"/>
        <v/>
      </c>
      <c r="X195" s="35" t="str">
        <f>IF(Q195="","",SUM($V$4:V195))</f>
        <v/>
      </c>
      <c r="Y195" s="35" t="str">
        <f>IF(X195="","",X195-MAX($X$4:X195))</f>
        <v/>
      </c>
      <c r="Z195" s="30"/>
    </row>
    <row r="196" spans="1:26" ht="15" customHeight="1">
      <c r="A196" s="27">
        <v>193</v>
      </c>
      <c r="B196" s="28"/>
      <c r="C196" s="29"/>
      <c r="D196" s="27"/>
      <c r="E196" s="30"/>
      <c r="F196" s="30"/>
      <c r="G196" s="27"/>
      <c r="H196" s="31"/>
      <c r="I196" s="30"/>
      <c r="J196" s="30"/>
      <c r="K196" s="30"/>
      <c r="L196" s="31"/>
      <c r="M196" s="32"/>
      <c r="N196" s="29"/>
      <c r="O196" s="27"/>
      <c r="P196" s="28"/>
      <c r="Q196" s="31"/>
      <c r="R196" s="27"/>
      <c r="S196" s="33" t="str">
        <f t="shared" ref="S196:S227" si="30">IF(R196="","",IF(R196="是",1,IF(R196="部分",0.5,0)))</f>
        <v/>
      </c>
      <c r="T196" s="34" t="str">
        <f t="shared" ref="T196:T203" si="31">IF(OR(Q196="",R196=""),"",IF(OR(R196="是",R196="部分"),IF(Q196&gt;0,"对且赚","对但亏"),IF(Q196&gt;0,"错但赚","错且亏")))</f>
        <v/>
      </c>
      <c r="U196" s="34" t="str">
        <f t="shared" ref="U196:U203" si="32">IF(OR(P196="",B196=""),"",P196-B196)</f>
        <v/>
      </c>
      <c r="V196" s="35" t="str">
        <f t="shared" ref="V196:V203" si="33">IF(OR(L196="",Q196=""),"",L196*Q196)</f>
        <v/>
      </c>
      <c r="W196" s="33" t="str">
        <f t="shared" ref="W196:W203" si="34">IF(OR(H196="",S196=""),"",(H196-S196)^2)</f>
        <v/>
      </c>
      <c r="X196" s="35" t="str">
        <f>IF(Q196="","",SUM($V$4:V196))</f>
        <v/>
      </c>
      <c r="Y196" s="35" t="str">
        <f>IF(X196="","",X196-MAX($X$4:X196))</f>
        <v/>
      </c>
      <c r="Z196" s="30"/>
    </row>
    <row r="197" spans="1:26" ht="15" customHeight="1">
      <c r="A197" s="27">
        <v>194</v>
      </c>
      <c r="B197" s="28"/>
      <c r="C197" s="29"/>
      <c r="D197" s="27"/>
      <c r="E197" s="30"/>
      <c r="F197" s="30"/>
      <c r="G197" s="27"/>
      <c r="H197" s="31"/>
      <c r="I197" s="30"/>
      <c r="J197" s="30"/>
      <c r="K197" s="30"/>
      <c r="L197" s="31"/>
      <c r="M197" s="32"/>
      <c r="N197" s="29"/>
      <c r="O197" s="27"/>
      <c r="P197" s="28"/>
      <c r="Q197" s="31"/>
      <c r="R197" s="27"/>
      <c r="S197" s="33" t="str">
        <f t="shared" si="30"/>
        <v/>
      </c>
      <c r="T197" s="34" t="str">
        <f t="shared" si="31"/>
        <v/>
      </c>
      <c r="U197" s="34" t="str">
        <f t="shared" si="32"/>
        <v/>
      </c>
      <c r="V197" s="35" t="str">
        <f t="shared" si="33"/>
        <v/>
      </c>
      <c r="W197" s="33" t="str">
        <f t="shared" si="34"/>
        <v/>
      </c>
      <c r="X197" s="35" t="str">
        <f>IF(Q197="","",SUM($V$4:V197))</f>
        <v/>
      </c>
      <c r="Y197" s="35" t="str">
        <f>IF(X197="","",X197-MAX($X$4:X197))</f>
        <v/>
      </c>
      <c r="Z197" s="30"/>
    </row>
    <row r="198" spans="1:26" ht="15" customHeight="1">
      <c r="A198" s="27">
        <v>195</v>
      </c>
      <c r="B198" s="28"/>
      <c r="C198" s="29"/>
      <c r="D198" s="27"/>
      <c r="E198" s="30"/>
      <c r="F198" s="30"/>
      <c r="G198" s="27"/>
      <c r="H198" s="31"/>
      <c r="I198" s="30"/>
      <c r="J198" s="30"/>
      <c r="K198" s="30"/>
      <c r="L198" s="31"/>
      <c r="M198" s="32"/>
      <c r="N198" s="29"/>
      <c r="O198" s="27"/>
      <c r="P198" s="28"/>
      <c r="Q198" s="31"/>
      <c r="R198" s="27"/>
      <c r="S198" s="33" t="str">
        <f t="shared" si="30"/>
        <v/>
      </c>
      <c r="T198" s="34" t="str">
        <f t="shared" si="31"/>
        <v/>
      </c>
      <c r="U198" s="34" t="str">
        <f t="shared" si="32"/>
        <v/>
      </c>
      <c r="V198" s="35" t="str">
        <f t="shared" si="33"/>
        <v/>
      </c>
      <c r="W198" s="33" t="str">
        <f t="shared" si="34"/>
        <v/>
      </c>
      <c r="X198" s="35" t="str">
        <f>IF(Q198="","",SUM($V$4:V198))</f>
        <v/>
      </c>
      <c r="Y198" s="35" t="str">
        <f>IF(X198="","",X198-MAX($X$4:X198))</f>
        <v/>
      </c>
      <c r="Z198" s="30"/>
    </row>
    <row r="199" spans="1:26" ht="15" customHeight="1">
      <c r="A199" s="27">
        <v>196</v>
      </c>
      <c r="B199" s="28"/>
      <c r="C199" s="29"/>
      <c r="D199" s="27"/>
      <c r="E199" s="30"/>
      <c r="F199" s="30"/>
      <c r="G199" s="27"/>
      <c r="H199" s="31"/>
      <c r="I199" s="30"/>
      <c r="J199" s="30"/>
      <c r="K199" s="30"/>
      <c r="L199" s="31"/>
      <c r="M199" s="32"/>
      <c r="N199" s="29"/>
      <c r="O199" s="27"/>
      <c r="P199" s="28"/>
      <c r="Q199" s="31"/>
      <c r="R199" s="27"/>
      <c r="S199" s="33" t="str">
        <f t="shared" si="30"/>
        <v/>
      </c>
      <c r="T199" s="34" t="str">
        <f t="shared" si="31"/>
        <v/>
      </c>
      <c r="U199" s="34" t="str">
        <f t="shared" si="32"/>
        <v/>
      </c>
      <c r="V199" s="35" t="str">
        <f t="shared" si="33"/>
        <v/>
      </c>
      <c r="W199" s="33" t="str">
        <f t="shared" si="34"/>
        <v/>
      </c>
      <c r="X199" s="35" t="str">
        <f>IF(Q199="","",SUM($V$4:V199))</f>
        <v/>
      </c>
      <c r="Y199" s="35" t="str">
        <f>IF(X199="","",X199-MAX($X$4:X199))</f>
        <v/>
      </c>
      <c r="Z199" s="30"/>
    </row>
    <row r="200" spans="1:26" ht="15" customHeight="1">
      <c r="A200" s="27">
        <v>197</v>
      </c>
      <c r="B200" s="28"/>
      <c r="C200" s="29"/>
      <c r="D200" s="27"/>
      <c r="E200" s="30"/>
      <c r="F200" s="30"/>
      <c r="G200" s="27"/>
      <c r="H200" s="31"/>
      <c r="I200" s="30"/>
      <c r="J200" s="30"/>
      <c r="K200" s="30"/>
      <c r="L200" s="31"/>
      <c r="M200" s="32"/>
      <c r="N200" s="29"/>
      <c r="O200" s="27"/>
      <c r="P200" s="28"/>
      <c r="Q200" s="31"/>
      <c r="R200" s="27"/>
      <c r="S200" s="33" t="str">
        <f t="shared" si="30"/>
        <v/>
      </c>
      <c r="T200" s="34" t="str">
        <f t="shared" si="31"/>
        <v/>
      </c>
      <c r="U200" s="34" t="str">
        <f t="shared" si="32"/>
        <v/>
      </c>
      <c r="V200" s="35" t="str">
        <f t="shared" si="33"/>
        <v/>
      </c>
      <c r="W200" s="33" t="str">
        <f t="shared" si="34"/>
        <v/>
      </c>
      <c r="X200" s="35" t="str">
        <f>IF(Q200="","",SUM($V$4:V200))</f>
        <v/>
      </c>
      <c r="Y200" s="35" t="str">
        <f>IF(X200="","",X200-MAX($X$4:X200))</f>
        <v/>
      </c>
      <c r="Z200" s="30"/>
    </row>
    <row r="201" spans="1:26" ht="15" customHeight="1">
      <c r="A201" s="27">
        <v>198</v>
      </c>
      <c r="B201" s="28"/>
      <c r="C201" s="29"/>
      <c r="D201" s="27"/>
      <c r="E201" s="30"/>
      <c r="F201" s="30"/>
      <c r="G201" s="27"/>
      <c r="H201" s="31"/>
      <c r="I201" s="30"/>
      <c r="J201" s="30"/>
      <c r="K201" s="30"/>
      <c r="L201" s="31"/>
      <c r="M201" s="32"/>
      <c r="N201" s="29"/>
      <c r="O201" s="27"/>
      <c r="P201" s="28"/>
      <c r="Q201" s="31"/>
      <c r="R201" s="27"/>
      <c r="S201" s="33" t="str">
        <f t="shared" si="30"/>
        <v/>
      </c>
      <c r="T201" s="34" t="str">
        <f t="shared" si="31"/>
        <v/>
      </c>
      <c r="U201" s="34" t="str">
        <f t="shared" si="32"/>
        <v/>
      </c>
      <c r="V201" s="35" t="str">
        <f t="shared" si="33"/>
        <v/>
      </c>
      <c r="W201" s="33" t="str">
        <f t="shared" si="34"/>
        <v/>
      </c>
      <c r="X201" s="35" t="str">
        <f>IF(Q201="","",SUM($V$4:V201))</f>
        <v/>
      </c>
      <c r="Y201" s="35" t="str">
        <f>IF(X201="","",X201-MAX($X$4:X201))</f>
        <v/>
      </c>
      <c r="Z201" s="30"/>
    </row>
    <row r="202" spans="1:26" ht="15" customHeight="1">
      <c r="A202" s="27">
        <v>199</v>
      </c>
      <c r="B202" s="28"/>
      <c r="C202" s="29"/>
      <c r="D202" s="27"/>
      <c r="E202" s="30"/>
      <c r="F202" s="30"/>
      <c r="G202" s="27"/>
      <c r="H202" s="31"/>
      <c r="I202" s="30"/>
      <c r="J202" s="30"/>
      <c r="K202" s="30"/>
      <c r="L202" s="31"/>
      <c r="M202" s="32"/>
      <c r="N202" s="29"/>
      <c r="O202" s="27"/>
      <c r="P202" s="28"/>
      <c r="Q202" s="31"/>
      <c r="R202" s="27"/>
      <c r="S202" s="33" t="str">
        <f t="shared" si="30"/>
        <v/>
      </c>
      <c r="T202" s="34" t="str">
        <f t="shared" si="31"/>
        <v/>
      </c>
      <c r="U202" s="34" t="str">
        <f t="shared" si="32"/>
        <v/>
      </c>
      <c r="V202" s="35" t="str">
        <f t="shared" si="33"/>
        <v/>
      </c>
      <c r="W202" s="33" t="str">
        <f t="shared" si="34"/>
        <v/>
      </c>
      <c r="X202" s="35" t="str">
        <f>IF(Q202="","",SUM($V$4:V202))</f>
        <v/>
      </c>
      <c r="Y202" s="35" t="str">
        <f>IF(X202="","",X202-MAX($X$4:X202))</f>
        <v/>
      </c>
      <c r="Z202" s="30"/>
    </row>
    <row r="203" spans="1:26" ht="15" customHeight="1">
      <c r="A203" s="27">
        <v>200</v>
      </c>
      <c r="B203" s="28"/>
      <c r="C203" s="29"/>
      <c r="D203" s="27"/>
      <c r="E203" s="30"/>
      <c r="F203" s="30"/>
      <c r="G203" s="27"/>
      <c r="H203" s="31"/>
      <c r="I203" s="30"/>
      <c r="J203" s="30"/>
      <c r="K203" s="30"/>
      <c r="L203" s="31"/>
      <c r="M203" s="32"/>
      <c r="N203" s="29"/>
      <c r="O203" s="27"/>
      <c r="P203" s="28"/>
      <c r="Q203" s="31"/>
      <c r="R203" s="27"/>
      <c r="S203" s="33" t="str">
        <f t="shared" si="30"/>
        <v/>
      </c>
      <c r="T203" s="34" t="str">
        <f t="shared" si="31"/>
        <v/>
      </c>
      <c r="U203" s="34" t="str">
        <f t="shared" si="32"/>
        <v/>
      </c>
      <c r="V203" s="35" t="str">
        <f t="shared" si="33"/>
        <v/>
      </c>
      <c r="W203" s="33" t="str">
        <f t="shared" si="34"/>
        <v/>
      </c>
      <c r="X203" s="35" t="str">
        <f>IF(Q203="","",SUM($V$4:V203))</f>
        <v/>
      </c>
      <c r="Y203" s="35" t="str">
        <f>IF(X203="","",X203-MAX($X$4:X203))</f>
        <v/>
      </c>
      <c r="Z203" s="30"/>
    </row>
  </sheetData>
  <mergeCells count="4">
    <mergeCell ref="A1:Z1"/>
    <mergeCell ref="A2:O2"/>
    <mergeCell ref="P2:R2"/>
    <mergeCell ref="S2:Y2"/>
  </mergeCells>
  <phoneticPr fontId="22" type="noConversion"/>
  <dataValidations count="5">
    <dataValidation type="list" allowBlank="1" sqref="G4:G203" xr:uid="{00000000-0002-0000-0200-000000000000}">
      <formula1>"列表!$A$2:$A$16"</formula1>
    </dataValidation>
    <dataValidation type="decimal" allowBlank="1" sqref="L4:L203 H4 H6:H203" xr:uid="{00000000-0002-0000-0200-000001000000}">
      <formula1>0</formula1>
      <formula2>1</formula2>
    </dataValidation>
    <dataValidation type="list" allowBlank="1" sqref="O4:O203" xr:uid="{00000000-0002-0000-0200-000003000000}">
      <formula1>"列表!$B$2:$B$6"</formula1>
    </dataValidation>
    <dataValidation type="decimal" operator="greaterThanOrEqual" allowBlank="1" sqref="Q4:Q203" xr:uid="{00000000-0002-0000-0200-000004000000}">
      <formula1>-1</formula1>
    </dataValidation>
    <dataValidation type="list" allowBlank="1" sqref="R4:R203" xr:uid="{00000000-0002-0000-0200-000005000000}">
      <formula1>"是,部分,否"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"/>
  <sheetViews>
    <sheetView workbookViewId="0"/>
  </sheetViews>
  <sheetFormatPr defaultRowHeight="14"/>
  <cols>
    <col min="1" max="1" width="24" customWidth="1"/>
    <col min="2" max="2" width="12" customWidth="1"/>
    <col min="3" max="3" width="9.26953125" customWidth="1"/>
    <col min="4" max="4" width="11" customWidth="1"/>
    <col min="5" max="5" width="10" customWidth="1"/>
    <col min="6" max="6" width="9.26953125" customWidth="1"/>
    <col min="7" max="7" width="12" customWidth="1"/>
    <col min="8" max="8" width="13.54296875" customWidth="1"/>
    <col min="9" max="11" width="13" customWidth="1"/>
    <col min="12" max="24" width="13.54296875" customWidth="1"/>
  </cols>
  <sheetData>
    <row r="1" spans="1:11" ht="17" customHeight="1">
      <c r="A1" s="51" t="s">
        <v>85</v>
      </c>
      <c r="B1" s="51"/>
      <c r="C1" s="51"/>
      <c r="D1" s="51"/>
      <c r="E1" s="51"/>
      <c r="F1" s="51"/>
      <c r="G1" s="51"/>
      <c r="H1" s="51"/>
    </row>
    <row r="3" spans="1:11" ht="10" customHeight="1">
      <c r="A3" s="36" t="s">
        <v>86</v>
      </c>
      <c r="D3" s="36" t="s">
        <v>87</v>
      </c>
    </row>
    <row r="4" spans="1:11" ht="10" customHeight="1">
      <c r="A4" s="37" t="s">
        <v>88</v>
      </c>
      <c r="B4" s="38">
        <f>COUNTA(交易日志!$C$4:$C$203)</f>
        <v>2</v>
      </c>
      <c r="D4" s="12" t="s">
        <v>89</v>
      </c>
      <c r="E4" s="12" t="s">
        <v>90</v>
      </c>
      <c r="F4" s="12" t="s">
        <v>91</v>
      </c>
      <c r="G4" s="12" t="s">
        <v>92</v>
      </c>
    </row>
    <row r="5" spans="1:11" ht="10" customHeight="1">
      <c r="A5" s="37" t="s">
        <v>93</v>
      </c>
      <c r="B5" s="38">
        <f>COUNT(交易日志!$Q$4:$Q$203)</f>
        <v>1</v>
      </c>
      <c r="D5" s="39" t="s">
        <v>94</v>
      </c>
      <c r="E5" s="40">
        <v>0.45</v>
      </c>
      <c r="F5" s="41">
        <f>COUNTIFS(交易日志!$H$4:$H$203,"&gt;="&amp;$I5,交易日志!$H$4:$H$203,"&lt;"&amp;$J5,交易日志!$R$4:$R$203,"&lt;&gt;")</f>
        <v>0</v>
      </c>
      <c r="G5" s="40" t="str">
        <f>IFERROR(AVERAGEIFS(交易日志!$S$4:$S$203,交易日志!$H$4:$H$203,"&gt;="&amp;$I5,交易日志!$H$4:$H$203,"&lt;"&amp;$J5,交易日志!$R$4:$R$203,"&lt;&gt;"),"—")</f>
        <v>—</v>
      </c>
      <c r="I5">
        <v>0</v>
      </c>
      <c r="J5">
        <v>0.5</v>
      </c>
      <c r="K5" s="42">
        <f t="shared" ref="K5:K10" si="0">IF($F5=0,$E5,$G5)</f>
        <v>0.45</v>
      </c>
    </row>
    <row r="6" spans="1:11" ht="10" customHeight="1">
      <c r="A6" s="37" t="s">
        <v>95</v>
      </c>
      <c r="B6" s="38">
        <f>B4-B5</f>
        <v>1</v>
      </c>
      <c r="D6" s="39" t="s">
        <v>96</v>
      </c>
      <c r="E6" s="40">
        <v>0.55000000000000004</v>
      </c>
      <c r="F6" s="41">
        <f>COUNTIFS(交易日志!$H$4:$H$203,"&gt;="&amp;$I6,交易日志!$H$4:$H$203,"&lt;"&amp;$J6,交易日志!$R$4:$R$203,"&lt;&gt;")</f>
        <v>0</v>
      </c>
      <c r="G6" s="40" t="str">
        <f>IFERROR(AVERAGEIFS(交易日志!$S$4:$S$203,交易日志!$H$4:$H$203,"&gt;="&amp;$I6,交易日志!$H$4:$H$203,"&lt;"&amp;$J6,交易日志!$R$4:$R$203,"&lt;&gt;"),"—")</f>
        <v>—</v>
      </c>
      <c r="I6">
        <v>0.5</v>
      </c>
      <c r="J6">
        <v>0.6</v>
      </c>
      <c r="K6" s="42">
        <f t="shared" si="0"/>
        <v>0.55000000000000004</v>
      </c>
    </row>
    <row r="7" spans="1:11" ht="10" customHeight="1">
      <c r="D7" s="39" t="s">
        <v>97</v>
      </c>
      <c r="E7" s="40">
        <v>0.65</v>
      </c>
      <c r="F7" s="41">
        <f>COUNTIFS(交易日志!$H$4:$H$203,"&gt;="&amp;$I7,交易日志!$H$4:$H$203,"&lt;"&amp;$J7,交易日志!$R$4:$R$203,"&lt;&gt;")</f>
        <v>1</v>
      </c>
      <c r="G7" s="40">
        <f>IFERROR(AVERAGEIFS(交易日志!$S$4:$S$203,交易日志!$H$4:$H$203,"&gt;="&amp;$I7,交易日志!$H$4:$H$203,"&lt;"&amp;$J7,交易日志!$R$4:$R$203,"&lt;&gt;"),"—")</f>
        <v>1</v>
      </c>
      <c r="I7">
        <v>0.6</v>
      </c>
      <c r="J7">
        <v>0.7</v>
      </c>
      <c r="K7" s="42">
        <f t="shared" si="0"/>
        <v>1</v>
      </c>
    </row>
    <row r="8" spans="1:11" ht="10" customHeight="1">
      <c r="A8" s="36" t="s">
        <v>98</v>
      </c>
      <c r="D8" s="39" t="s">
        <v>99</v>
      </c>
      <c r="E8" s="40">
        <v>0.75</v>
      </c>
      <c r="F8" s="41">
        <f>COUNTIFS(交易日志!$H$4:$H$203,"&gt;="&amp;$I8,交易日志!$H$4:$H$203,"&lt;"&amp;$J8,交易日志!$R$4:$R$203,"&lt;&gt;")</f>
        <v>0</v>
      </c>
      <c r="G8" s="40" t="str">
        <f>IFERROR(AVERAGEIFS(交易日志!$S$4:$S$203,交易日志!$H$4:$H$203,"&gt;="&amp;$I8,交易日志!$H$4:$H$203,"&lt;"&amp;$J8,交易日志!$R$4:$R$203,"&lt;&gt;"),"—")</f>
        <v>—</v>
      </c>
      <c r="I8">
        <v>0.7</v>
      </c>
      <c r="J8">
        <v>0.8</v>
      </c>
      <c r="K8" s="42">
        <f t="shared" si="0"/>
        <v>0.75</v>
      </c>
    </row>
    <row r="9" spans="1:11" ht="10" customHeight="1">
      <c r="A9" s="37" t="s">
        <v>100</v>
      </c>
      <c r="B9" s="43">
        <f>IFERROR(AVERAGE(交易日志!$S$4:$S$203),"—")</f>
        <v>1</v>
      </c>
      <c r="D9" s="39" t="s">
        <v>101</v>
      </c>
      <c r="E9" s="40">
        <v>0.85</v>
      </c>
      <c r="F9" s="41">
        <f>COUNTIFS(交易日志!$H$4:$H$203,"&gt;="&amp;$I9,交易日志!$H$4:$H$203,"&lt;"&amp;$J9,交易日志!$R$4:$R$203,"&lt;&gt;")</f>
        <v>0</v>
      </c>
      <c r="G9" s="40" t="str">
        <f>IFERROR(AVERAGEIFS(交易日志!$S$4:$S$203,交易日志!$H$4:$H$203,"&gt;="&amp;$I9,交易日志!$H$4:$H$203,"&lt;"&amp;$J9,交易日志!$R$4:$R$203,"&lt;&gt;"),"—")</f>
        <v>—</v>
      </c>
      <c r="I9">
        <v>0.8</v>
      </c>
      <c r="J9">
        <v>0.9</v>
      </c>
      <c r="K9" s="42">
        <f t="shared" si="0"/>
        <v>0.85</v>
      </c>
    </row>
    <row r="10" spans="1:11" ht="10" customHeight="1">
      <c r="A10" s="37" t="s">
        <v>102</v>
      </c>
      <c r="B10" s="43">
        <f>IFERROR(COUNTIF(交易日志!$Q$4:$Q$203,"&gt;0")/COUNT(交易日志!$Q$4:$Q$203),"—")</f>
        <v>1</v>
      </c>
      <c r="D10" s="39" t="s">
        <v>103</v>
      </c>
      <c r="E10" s="40">
        <v>0.95</v>
      </c>
      <c r="F10" s="41">
        <f>COUNTIFS(交易日志!$H$4:$H$203,"&gt;="&amp;$I10,交易日志!$H$4:$H$203,"&lt;"&amp;$J10,交易日志!$R$4:$R$203,"&lt;&gt;")</f>
        <v>0</v>
      </c>
      <c r="G10" s="40" t="str">
        <f>IFERROR(AVERAGEIFS(交易日志!$S$4:$S$203,交易日志!$H$4:$H$203,"&gt;="&amp;$I10,交易日志!$H$4:$H$203,"&lt;"&amp;$J10,交易日志!$R$4:$R$203,"&lt;&gt;"),"—")</f>
        <v>—</v>
      </c>
      <c r="I10">
        <v>0.9</v>
      </c>
      <c r="J10">
        <v>1.01</v>
      </c>
      <c r="K10" s="42">
        <f t="shared" si="0"/>
        <v>0.95</v>
      </c>
    </row>
    <row r="11" spans="1:11" ht="10" customHeight="1">
      <c r="A11" s="37" t="s">
        <v>104</v>
      </c>
      <c r="B11" s="43">
        <f>IFERROR(B9-B10,"—")</f>
        <v>0</v>
      </c>
    </row>
    <row r="12" spans="1:11" ht="10" customHeight="1">
      <c r="D12" s="44" t="s">
        <v>105</v>
      </c>
    </row>
    <row r="13" spans="1:11" ht="10" customHeight="1">
      <c r="A13" s="36" t="s">
        <v>106</v>
      </c>
    </row>
    <row r="14" spans="1:11" ht="10" customHeight="1">
      <c r="A14" s="37" t="s">
        <v>107</v>
      </c>
      <c r="B14" s="43">
        <f>IFERROR(COUNTIF(交易日志!$T$4:$T$203,"对且赚")/$B$5,"—")</f>
        <v>1</v>
      </c>
    </row>
    <row r="15" spans="1:11" ht="10" customHeight="1">
      <c r="A15" s="37" t="s">
        <v>108</v>
      </c>
      <c r="B15" s="43">
        <f>IFERROR(COUNTIF(交易日志!$T$4:$T$203,"对但亏")/$B$5,"—")</f>
        <v>0</v>
      </c>
    </row>
    <row r="16" spans="1:11" ht="10" customHeight="1">
      <c r="A16" s="37" t="s">
        <v>109</v>
      </c>
      <c r="B16" s="43">
        <f>IFERROR(COUNTIF(交易日志!$T$4:$T$203,"错但赚")/$B$5,"—")</f>
        <v>0</v>
      </c>
    </row>
    <row r="17" spans="1:2" ht="10" customHeight="1">
      <c r="A17" s="37" t="s">
        <v>110</v>
      </c>
      <c r="B17" s="43">
        <f>IFERROR(COUNTIF(交易日志!$T$4:$T$203,"错且亏")/$B$5,"—")</f>
        <v>0</v>
      </c>
    </row>
    <row r="19" spans="1:2" ht="10" customHeight="1">
      <c r="A19" s="36" t="s">
        <v>111</v>
      </c>
    </row>
    <row r="20" spans="1:2" ht="10" customHeight="1">
      <c r="A20" s="37" t="s">
        <v>112</v>
      </c>
      <c r="B20" s="45" t="str">
        <f>IFERROR(AVERAGEIF(交易日志!$Q$4:$Q$203,"&gt;0")/ABS(AVERAGEIF(交易日志!$Q$4:$Q$203,"&lt;0")),"—")</f>
        <v>—</v>
      </c>
    </row>
    <row r="21" spans="1:2" ht="10" customHeight="1">
      <c r="A21" s="37" t="s">
        <v>113</v>
      </c>
      <c r="B21" s="38" t="str">
        <f>IFERROR(AVERAGE(交易日志!$U$4:$U$203),"—")</f>
        <v>—</v>
      </c>
    </row>
    <row r="22" spans="1:2" ht="10" customHeight="1">
      <c r="A22" s="46" t="s">
        <v>114</v>
      </c>
      <c r="B22" s="45">
        <f>IFERROR(AVERAGE(交易日志!$W$4:$W$203),"—")</f>
        <v>0.12249999999999998</v>
      </c>
    </row>
    <row r="23" spans="1:2" ht="10" customHeight="1">
      <c r="A23" s="37" t="s">
        <v>115</v>
      </c>
      <c r="B23" s="43">
        <f>IFERROR(MIN(交易日志!$Y$4:$Y$203),"—")</f>
        <v>0</v>
      </c>
    </row>
  </sheetData>
  <mergeCells count="1">
    <mergeCell ref="A1:H1"/>
  </mergeCells>
  <phoneticPr fontId="2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使用说明</vt:lpstr>
      <vt:lpstr>列表</vt:lpstr>
      <vt:lpstr>交易日志</vt:lpstr>
      <vt:lpstr>看板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2026-09-21T15:51:26Z</dcterms:created>
  <dcterms:modified xsi:type="dcterms:W3CDTF">2026-09-21T16:36:40Z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45AA25D2-8DF8-4EB7-B450-E73DCDF4984E</vt:lpwstr>
  </property>
</Properties>
</file>